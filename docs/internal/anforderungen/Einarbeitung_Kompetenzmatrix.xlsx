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Volumes/WD-Black-SN850X/tbuck/repos/_self/employee-db/docs/"/>
    </mc:Choice>
  </mc:AlternateContent>
  <xr:revisionPtr revIDLastSave="0" documentId="8_{B85E2DC6-08DE-4346-ACAD-A6854BCCF549}" xr6:coauthVersionLast="47" xr6:coauthVersionMax="47" xr10:uidLastSave="{00000000-0000-0000-0000-000000000000}"/>
  <bookViews>
    <workbookView xWindow="24840" yWindow="600" windowWidth="26360" windowHeight="28180" tabRatio="500" activeTab="4" xr2:uid="{00000000-000D-0000-FFFF-FFFF00000000}"/>
  </bookViews>
  <sheets>
    <sheet name="Stammdaten" sheetId="1" r:id="rId1"/>
    <sheet name="SGB XI" sheetId="2" r:id="rId2"/>
    <sheet name="SGB V" sheetId="3" r:id="rId3"/>
    <sheet name="Einweisungen" sheetId="4" r:id="rId4"/>
    <sheet name="Legende" sheetId="5" r:id="rId5"/>
  </sheets>
  <definedNames>
    <definedName name="_xlnm.Print_Titles" localSheetId="3">Einweisungen!$1:$2</definedName>
    <definedName name="_xlnm.Print_Titles" localSheetId="2">'SGB V'!$1:$3</definedName>
    <definedName name="_xlnm.Print_Titles" localSheetId="1">'SGB XI'!$1:$3</definedName>
    <definedName name="_xlnm.Print_Titles" localSheetId="0">Stammdaten!$1:$1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3" l="1"/>
  <c r="D12" i="1" s="1"/>
  <c r="D42" i="3"/>
  <c r="H48" i="2"/>
  <c r="B12" i="1" s="1"/>
  <c r="B13" i="1" s="1"/>
  <c r="D48" i="2"/>
</calcChain>
</file>

<file path=xl/sharedStrings.xml><?xml version="1.0" encoding="utf-8"?>
<sst xmlns="http://schemas.openxmlformats.org/spreadsheetml/2006/main" count="408" uniqueCount="322">
  <si>
    <t>🏥  EINARBEITUNGSDOKUMENTATION – STAMMDATEN</t>
  </si>
  <si>
    <t>Persönliche Angaben</t>
  </si>
  <si>
    <t>Name, Vorname:</t>
  </si>
  <si>
    <t>Personalnummer:</t>
  </si>
  <si>
    <t>Eintrittsdatum:</t>
  </si>
  <si>
    <t>Austrittsdatum:</t>
  </si>
  <si>
    <t>Geburtsdatum:</t>
  </si>
  <si>
    <t>Stellenumfang:</t>
  </si>
  <si>
    <t>Qualifikation:</t>
  </si>
  <si>
    <t>Einsatzbereich:</t>
  </si>
  <si>
    <t>Ausbildungsjahr:</t>
  </si>
  <si>
    <t>Praxisanleiter/in:</t>
  </si>
  <si>
    <t>Einarbeitungsstatus &amp; Kompetenzübersicht</t>
  </si>
  <si>
    <t>Phase der Einarbeitung:</t>
  </si>
  <si>
    <t>Geplanter Abschluss:</t>
  </si>
  <si>
    <t>SGB XI – Fortschritt:</t>
  </si>
  <si>
    <t>SGB V – Fortschritt:</t>
  </si>
  <si>
    <t>Gesamtstatus:</t>
  </si>
  <si>
    <t>Freigegeben durch:</t>
  </si>
  <si>
    <t>Unterschriften &amp; Bestätigungen</t>
  </si>
  <si>
    <t>Unterschrift MA:</t>
  </si>
  <si>
    <t>_______________________________</t>
  </si>
  <si>
    <t>Datum:</t>
  </si>
  <si>
    <t>Unterschrift PAL:</t>
  </si>
  <si>
    <t>Unterschrift PDL:</t>
  </si>
  <si>
    <t>Bemerkungen / Besonderheiten</t>
  </si>
  <si>
    <t>🏥  SGB XI – Leistungskomplexe NRW  |  Kompetenzmatrix Einarbeitung</t>
  </si>
  <si>
    <t>Stufen: 1 = Unterwiesen  |  2 = Beobachtet  |  3 = Unter Aufsicht  |  4 = Selbstständig  |  5 = Kann andere anleiten     Eintrag: Datum TT.MM.JJ oder Kürzel</t>
  </si>
  <si>
    <t>Nr.</t>
  </si>
  <si>
    <t>Bezeichnung (NRW)</t>
  </si>
  <si>
    <t>Relevanz</t>
  </si>
  <si>
    <t>💡 Abrechnungshinweis / Ausschluss</t>
  </si>
  <si>
    <t>Stufe 1
Unterwiesen</t>
  </si>
  <si>
    <t>Stufe 2
Beobachtet</t>
  </si>
  <si>
    <t>Stufe 3
Aufsicht</t>
  </si>
  <si>
    <t>Stufe 4
Selbst-
ständig</t>
  </si>
  <si>
    <t>Stufe 5
Anleitung</t>
  </si>
  <si>
    <t>Freigegeben
am</t>
  </si>
  <si>
    <t>Bemerkung /
Praxisanleitung</t>
  </si>
  <si>
    <t xml:space="preserve">  ▶  Grundpflege – Körperbezogene Pflegemaßnahmen</t>
  </si>
  <si>
    <t>P01</t>
  </si>
  <si>
    <t>Ganzwaschung</t>
  </si>
  <si>
    <t>Alle</t>
  </si>
  <si>
    <t>Vollständige Körperpflege. Schließt P02 am selben Besuch aus.</t>
  </si>
  <si>
    <t>P02</t>
  </si>
  <si>
    <t>Teilwaschung</t>
  </si>
  <si>
    <t>Nur Teilbereiche (z. B. Gesicht, Hände). Nicht zusammen mit P01 abrechenbar.</t>
  </si>
  <si>
    <t>P03</t>
  </si>
  <si>
    <t>Ausscheidungen</t>
  </si>
  <si>
    <t>Hilfe bei Toilettengang, Inkontinenzversorgung, Katheterpflege. Dokumentation: Art der Ausscheidungshilfe angeben.</t>
  </si>
  <si>
    <t>P04</t>
  </si>
  <si>
    <t>Selbstständige Nahrungsaufnahme</t>
  </si>
  <si>
    <t>Klient isst selbst – MA bereitet nur vor (richten, schneiden). Nicht kombinierbar mit P05.</t>
  </si>
  <si>
    <t>P05</t>
  </si>
  <si>
    <t>Hilfe bei der Nahrungsaufnahme</t>
  </si>
  <si>
    <t>MA reicht aktiv an. Nicht zusammen mit P04. Bei Schluckstörung in Doku vermerken.</t>
  </si>
  <si>
    <t>P06</t>
  </si>
  <si>
    <t>Sondenernährung</t>
  </si>
  <si>
    <t>Nur PFK</t>
  </si>
  <si>
    <t>Nur mit ärztlicher Anordnung! Nicht kombinierbar mit P04 oder P05. Behandlungspflege → SGB V prüfen.</t>
  </si>
  <si>
    <t>P07</t>
  </si>
  <si>
    <t>Lagern / Betten</t>
  </si>
  <si>
    <t>Positionierung, Bett machen. Kann mit Grundpflege kombiniert werden → dann Kombinations-LK prüfen (P18–P26).</t>
  </si>
  <si>
    <t>P08</t>
  </si>
  <si>
    <t>Mobilisation</t>
  </si>
  <si>
    <t>Transfer, Gehen, Rollstuhl. Wenn aufwendig → in Doku begründen (Hilfsmittel, Sturzgefahr).</t>
  </si>
  <si>
    <t xml:space="preserve">  ▶  Kombinationsleistungen – Grundpflege (P18–P26)</t>
  </si>
  <si>
    <t>💡  Diese LK sind Kombinationen aus den Einzelleistungen P01–P08. Wird ein Kombinations-LK abgerechnet, dürfen die enthaltenen Einzel-LK NICHT zusätzlich gezogen werden. Beispiel: P18 enthält P01 + P07 + P04 → diese drei nicht separat abrechnen.</t>
  </si>
  <si>
    <t>P18</t>
  </si>
  <si>
    <t>Große Grundpflege m. Lagern / selbst. Nahrungsaufnahme</t>
  </si>
  <si>
    <t>Enthält: P01 + P07 + P04. Keinen dieser LK zusätzlich ziehen.</t>
  </si>
  <si>
    <t>P19</t>
  </si>
  <si>
    <t>Große Grundpflege</t>
  </si>
  <si>
    <t>Enthält: P01. Aufwendige Grundpflege ohne Lagerung/Essen. P07 und P04/P05 nicht zusätzlich.</t>
  </si>
  <si>
    <t>P20</t>
  </si>
  <si>
    <t>Kleine Grundpflege m. Lagern / selbst. Nahrungsaufnahme</t>
  </si>
  <si>
    <t>Enthält: P02 + P07 + P04. Keinen dieser LK zusätzlich ziehen.</t>
  </si>
  <si>
    <t>P21</t>
  </si>
  <si>
    <t>Kleine Grundpflege</t>
  </si>
  <si>
    <t>Enthält: P02. Teilwaschung ohne Lagerung/Essen. P07 und P04/P05 nicht zusätzlich.</t>
  </si>
  <si>
    <t>P23</t>
  </si>
  <si>
    <t>Große Grundpflege m. Lagern</t>
  </si>
  <si>
    <t>Enthält: P01 + P07. P04/P05 kann zusätzlich abgerechnet werden wenn nötig.</t>
  </si>
  <si>
    <t>P24</t>
  </si>
  <si>
    <t>Große Grundpflege m. Lagern / Hilfe Nahrungsaufnahme</t>
  </si>
  <si>
    <t>Enthält: P01 + P07 + P05. Keinen dieser LK zusätzlich ziehen.</t>
  </si>
  <si>
    <t>P25</t>
  </si>
  <si>
    <t>Kleine Grundpflege m. Lagern</t>
  </si>
  <si>
    <t>Enthält: P02 + P07. P04/P05 kann zusätzlich abgerechnet werden wenn nötig.</t>
  </si>
  <si>
    <t>P26</t>
  </si>
  <si>
    <t>Kleine Grundpflege m. Lagern / Hilfe Nahrungsaufnahme</t>
  </si>
  <si>
    <t>Enthält: P02 + P07 + P05. Keinen dieser LK zusätzlich ziehen.</t>
  </si>
  <si>
    <t xml:space="preserve">  ▶  Kleine pflegerische Hilfestellungen (P27–P30)</t>
  </si>
  <si>
    <t>💡  P27–P30 sind für kurze, punktuelle Einsätze gedacht (z. B. nur Insulin, nur RR-Messung). Nicht kombinierbar mit Grundpflege-LK am selben Besuch – immer im Pflegevertrag prüfen.</t>
  </si>
  <si>
    <t>P27</t>
  </si>
  <si>
    <t>Kleine pflegerische Hilfestellung 1</t>
  </si>
  <si>
    <t>Kurzer Einsatz. Nicht zusammen mit P01–P08 oder Kombinations-LK abrechenbar.</t>
  </si>
  <si>
    <t>P28</t>
  </si>
  <si>
    <t>Kleine pflegerische Hilfestellung 2</t>
  </si>
  <si>
    <t>P29</t>
  </si>
  <si>
    <t>Kleine pflegerische Hilfestellung 3</t>
  </si>
  <si>
    <t>P30</t>
  </si>
  <si>
    <t>Kleine pflegerische Hilfestellung 4</t>
  </si>
  <si>
    <t xml:space="preserve">  ▶  Hauswirtschaftliche Versorgung</t>
  </si>
  <si>
    <t>P09</t>
  </si>
  <si>
    <t>Behördengänge und Arztbesuche</t>
  </si>
  <si>
    <t>Begleitung außer Haus. Zeitaufwand dokumentieren. Nicht mit P13 kombinierbar.</t>
  </si>
  <si>
    <t>P10</t>
  </si>
  <si>
    <t>Beheizen des Wohnbereichs</t>
  </si>
  <si>
    <t>Nur wenn Klient dies nicht selbst kann. In Doku begründen.</t>
  </si>
  <si>
    <t>P11</t>
  </si>
  <si>
    <t>Einkaufen</t>
  </si>
  <si>
    <t>Belege aufbewahren lassen. Quittung = Nachweis. Allein oder mit Klient möglich.</t>
  </si>
  <si>
    <t>P12</t>
  </si>
  <si>
    <t>Zubereiten von warmen Mahlzeiten</t>
  </si>
  <si>
    <t>Nicht kombinierbar mit P04/P05 am selben Besuch wenn Essen direkt gereicht wird.</t>
  </si>
  <si>
    <t>P13</t>
  </si>
  <si>
    <t>Reinigung der Wohnung</t>
  </si>
  <si>
    <t>Nur pflegerelevante Bereiche (Bad, Küche, Schlafzimmer). Umfang in Doku angeben.</t>
  </si>
  <si>
    <t>P14</t>
  </si>
  <si>
    <t>Waschen und Pflegen der Wäsche / Kleidung</t>
  </si>
  <si>
    <t>Waschen, Trocknen, Bügeln. Nur wenn im Pflegevertrag vereinbart.</t>
  </si>
  <si>
    <t>P22</t>
  </si>
  <si>
    <t>Große hauswirtschaftliche Versorgung</t>
  </si>
  <si>
    <t>Kombination mehrerer HW-Leistungen. Enthaltene Einzel-LK nicht zusätzlich ziehen.</t>
  </si>
  <si>
    <t>P32</t>
  </si>
  <si>
    <t>Hilfe bei der Sicherstellung der selbstverantworteten Haushaltsführung **</t>
  </si>
  <si>
    <t>Beratend/unterstützend – MA übernimmt NICHT, sondern begleitet. Aktivierend dokumentieren.</t>
  </si>
  <si>
    <t>P33</t>
  </si>
  <si>
    <t>Hauswirtschaftliche Versorgung **</t>
  </si>
  <si>
    <t>Vollständige HW-Übernahme. Abgrenzung zu P22 im Pflegevertrag prüfen.</t>
  </si>
  <si>
    <t xml:space="preserve">  ▶  Pauschalen &amp; Beratung</t>
  </si>
  <si>
    <t>P15</t>
  </si>
  <si>
    <t>Hausbesuchspauschale</t>
  </si>
  <si>
    <t>Einmal pro Besuch – unabhängig davon wie viele LK gezogen werden. Immer mit abrechnen!</t>
  </si>
  <si>
    <t>P15a</t>
  </si>
  <si>
    <t>Erhöhte Hausbesuchspauschale</t>
  </si>
  <si>
    <t>Nur wenn vertraglich vereinbart (z. B. Nacht, Wochenende, Feiertag). P15 oder P15a – nicht beide!</t>
  </si>
  <si>
    <t>P16</t>
  </si>
  <si>
    <t>Erstgespräch</t>
  </si>
  <si>
    <t>Einmalig bei Neuaufnahme. Nur PFK. Umfassendes Assessment, SIS ausfüllen. Gesondert dokumentieren.</t>
  </si>
  <si>
    <t>P16a</t>
  </si>
  <si>
    <t>Folgegespräch</t>
  </si>
  <si>
    <t>Regelmäßige Überprüfung der Pflegesituation. Nur PFK. Ergebnis in SIS/Maßnahmenplan übertragen.</t>
  </si>
  <si>
    <t>P17</t>
  </si>
  <si>
    <t>Beratungsbesuch § 37 Abs. 3 S. 6 SGB XI (Pflegegrad 1–5)</t>
  </si>
  <si>
    <t>Pflicht bei Pflegegeld-Empfängern. Nur PFK. Bericht an Pflegekasse! Häufigkeit je PG beachten.</t>
  </si>
  <si>
    <t xml:space="preserve">  ▶  Betreuung &amp; Aktivierung</t>
  </si>
  <si>
    <t>P31</t>
  </si>
  <si>
    <t>Pflegerische Betreuung **</t>
  </si>
  <si>
    <t>Gespräch, Aktivierung, Beschäftigung. Kein körperlicher Pflegeakt. Inhalt in Doku beschreiben.</t>
  </si>
  <si>
    <t>** Leistungen nach § 36 SGB XI – Betreuungs- und Entlastungsleistungen / hauswirtschaftliche Versorgung. Abrechnungsfähigkeit je nach Pflegevertrag prüfen.</t>
  </si>
  <si>
    <t>Kompetenzfortschritt gesamt:</t>
  </si>
  <si>
    <t>Eintrag: Datum TT.MM.JJ oder Kürzel PAL</t>
  </si>
  <si>
    <t>🏥  SGB V – Häusliche Krankenpflege (HKP) Kompetenzmatrix</t>
  </si>
  <si>
    <t>Stufen: 1=Kenntnis/Unterwiesen | 2=Beobachtet | 3=Unter Aufsicht | 4=Selbstständig | 5=Anleitung anderer   •   Eintrag: Datum oder Kürzel</t>
  </si>
  <si>
    <t>Leistung / Tätigkeit</t>
  </si>
  <si>
    <t>Stufe 1
Kenntnis</t>
  </si>
  <si>
    <t xml:space="preserve">  ▶  Behandlungspflege – Medikamente</t>
  </si>
  <si>
    <t>BPf 1</t>
  </si>
  <si>
    <t>Medikamentenvorbereitung (Stellen der Medikamente)</t>
  </si>
  <si>
    <t>BPf 2</t>
  </si>
  <si>
    <t>Medikamentengabe oral / sublingual</t>
  </si>
  <si>
    <t>BPf 3</t>
  </si>
  <si>
    <t>Medikamentengabe inhalativ (Inhalation)</t>
  </si>
  <si>
    <t>BPf 4</t>
  </si>
  <si>
    <t>Medikamentengabe transdermal (Pflaster)</t>
  </si>
  <si>
    <t>BPf 5</t>
  </si>
  <si>
    <t>Subkutane Injektion (z.B. Insulin, Heparin)</t>
  </si>
  <si>
    <t>BPf 6</t>
  </si>
  <si>
    <t>Intramuskuläre Injektion (nach ärztl. Anordnung)</t>
  </si>
  <si>
    <t>BPf 7</t>
  </si>
  <si>
    <t>Infusionstherapie / Port-Versorgung</t>
  </si>
  <si>
    <t>BPf 8</t>
  </si>
  <si>
    <t>Ernährung über PEG-Sonde</t>
  </si>
  <si>
    <t xml:space="preserve">  ▶  Wundversorgung nach Behandlungsplan</t>
  </si>
  <si>
    <t>BPf 9</t>
  </si>
  <si>
    <t>Wundbeurteilung und Dokumentation (TIME-Schema)</t>
  </si>
  <si>
    <t>BPf 10</t>
  </si>
  <si>
    <t>Verbandswechsel (aseptische Technik)</t>
  </si>
  <si>
    <t>BPf 11</t>
  </si>
  <si>
    <t>Wundspülung / Debridement (nach Anordnung)</t>
  </si>
  <si>
    <t>BPf 12</t>
  </si>
  <si>
    <t>Drainageversorgung (Wunddrainage)</t>
  </si>
  <si>
    <t xml:space="preserve">  ▶  Ausscheidung &amp; Katheter</t>
  </si>
  <si>
    <t>BPf 13</t>
  </si>
  <si>
    <t>Transurethraler Blasenkatheter legen (Frau)</t>
  </si>
  <si>
    <t>BPf 14</t>
  </si>
  <si>
    <t>Suprapubischer Katheter – Pflege und Wechsel</t>
  </si>
  <si>
    <t>BPf 15</t>
  </si>
  <si>
    <t>Einlauf / Klysma / Darmentleerung</t>
  </si>
  <si>
    <t>BPf 16</t>
  </si>
  <si>
    <t>Einmalkatheterisierung</t>
  </si>
  <si>
    <t xml:space="preserve">  ▶  Atemwege &amp; Tracheostoma</t>
  </si>
  <si>
    <t>BPf 17</t>
  </si>
  <si>
    <t>Tracheostomapflege (tracheal endtracheale Absaugung)</t>
  </si>
  <si>
    <t>BPf 18</t>
  </si>
  <si>
    <t>Inhalationstherapie (Vernebler, Peak-Flow)</t>
  </si>
  <si>
    <t>BPf 19</t>
  </si>
  <si>
    <t>Absaugung (oral / nasal)</t>
  </si>
  <si>
    <t>BPf 20</t>
  </si>
  <si>
    <t>O₂-Therapie (Sauerstoffgabe, Pulsoximetrie)</t>
  </si>
  <si>
    <t xml:space="preserve">  ▶  Kompressionstherapie &amp; Lymph</t>
  </si>
  <si>
    <t>BPf 21</t>
  </si>
  <si>
    <t>Kompressionsverbände anlegen (Kurzzugbinde)</t>
  </si>
  <si>
    <t>BPf 22</t>
  </si>
  <si>
    <t>Kompressionsstrümpfe Klasse I–III anlegen</t>
  </si>
  <si>
    <t>BPf 23</t>
  </si>
  <si>
    <t>Lymphdrainage-Nachsorge / Entstauungstherapie</t>
  </si>
  <si>
    <t xml:space="preserve">  ▶  Monitoring &amp; Beobachtung</t>
  </si>
  <si>
    <t>BPf 24</t>
  </si>
  <si>
    <t>Vitalzeichenkontrolle + Dokumentation (RR, P, T, SpO2)</t>
  </si>
  <si>
    <t>BPf 25</t>
  </si>
  <si>
    <t>EKG ableiten (12-Kanal)</t>
  </si>
  <si>
    <t>BPf 26</t>
  </si>
  <si>
    <t>Blutzucker-Messung + Insulin-Protokoll</t>
  </si>
  <si>
    <t>BPf 27</t>
  </si>
  <si>
    <t>INR/Quick-Messung (CoaguChek)</t>
  </si>
  <si>
    <t>BPf 28</t>
  </si>
  <si>
    <t>Beurteilung und Meldung krit. Vitalwerte</t>
  </si>
  <si>
    <t xml:space="preserve">  ▶  Psychosoziale Betreuung</t>
  </si>
  <si>
    <t>BPf 29</t>
  </si>
  <si>
    <t>Beratung Patient/Angehörige (Pflegeberatung § 37 SGB XI)</t>
  </si>
  <si>
    <t>BPf 30</t>
  </si>
  <si>
    <t>Demenzbegleitung / Validation</t>
  </si>
  <si>
    <t>Kompetenzfortschritt (Stufe 4+5):</t>
  </si>
  <si>
    <t>← Eintrag: Datum TT.MM.JJ oder Kürzel</t>
  </si>
  <si>
    <t>📋  EINWEISUNGEN, UNTERWEISUNGEN &amp; PFLICHTFORTBILDUNGEN</t>
  </si>
  <si>
    <t>Thema / Einweisung</t>
  </si>
  <si>
    <t>Gesetzl. Grundlage</t>
  </si>
  <si>
    <t>Fällig bis</t>
  </si>
  <si>
    <t>Durchgeführt am</t>
  </si>
  <si>
    <t>Durchgeführt durch</t>
  </si>
  <si>
    <t>Unterschrift MA</t>
  </si>
  <si>
    <t>Erstunterweisung Arbeitsschutz</t>
  </si>
  <si>
    <t>ArbSchG § 12</t>
  </si>
  <si>
    <t>Brandschutzunterweisung</t>
  </si>
  <si>
    <t>ArbStättV</t>
  </si>
  <si>
    <t>Hygieneunterweisung (jährlich)</t>
  </si>
  <si>
    <t>IfSG / KRINKO</t>
  </si>
  <si>
    <t>MRSA – Standard Umgang &amp; Schutz</t>
  </si>
  <si>
    <t>VA-HYG-003</t>
  </si>
  <si>
    <t>Datenschutz-Grundunterweisung</t>
  </si>
  <si>
    <t>DSGVO / BDSG</t>
  </si>
  <si>
    <t>Schweigepflicht (§ 203 StGB)</t>
  </si>
  <si>
    <t>§ 203 StGB</t>
  </si>
  <si>
    <t>Reanimationstraining (BLS/AED)</t>
  </si>
  <si>
    <t>interne Richtlinie</t>
  </si>
  <si>
    <t>Einweisung Medizinprodukte (MPG)</t>
  </si>
  <si>
    <t>MDR / MPDG</t>
  </si>
  <si>
    <t>Notfallmanagement / FAST-Erkennung</t>
  </si>
  <si>
    <t>Kinästhetik Grundkurs (optional)</t>
  </si>
  <si>
    <t>Bobath-Grundprinzipien (optional)</t>
  </si>
  <si>
    <t>Expertenstandard Dekubitus</t>
  </si>
  <si>
    <t>DNQP</t>
  </si>
  <si>
    <t>Expertenstandard Sturz</t>
  </si>
  <si>
    <t>Expertenstandard Schmerz</t>
  </si>
  <si>
    <t>Umgang mit Betäubungsmitteln (BTM)</t>
  </si>
  <si>
    <t>BtMG</t>
  </si>
  <si>
    <t>Abfallentsorgung nach LAGA</t>
  </si>
  <si>
    <t>KrWG / LAGA</t>
  </si>
  <si>
    <t>Tourenplanung &amp; Dienstplanung</t>
  </si>
  <si>
    <t>SIS-Dokumentation (Strukturmodell)</t>
  </si>
  <si>
    <t>PSG II / BMG</t>
  </si>
  <si>
    <t>Pflegegradmanagement &amp; Begutachtung</t>
  </si>
  <si>
    <t>SGB XI § 18</t>
  </si>
  <si>
    <t>Abrechnungssystem SGB XI / LK</t>
  </si>
  <si>
    <t>SGB XI</t>
  </si>
  <si>
    <t>📖  LEGENDE – EINARBEITUNGSDOKUMENTATION</t>
  </si>
  <si>
    <t>KOMPETENZSTUFEN</t>
  </si>
  <si>
    <t>Stufe 1 – Kenntnis</t>
  </si>
  <si>
    <t>Unterwiesen/informiert. Theorie bekannt. Kein selbständiges Handeln.</t>
  </si>
  <si>
    <t>Stufe 2 – Beobachtet</t>
  </si>
  <si>
    <t>MA hat die Tätigkeit beobachtet und begleitet.</t>
  </si>
  <si>
    <t>Stufe 3 – Unter Aufsicht</t>
  </si>
  <si>
    <t>MA führt die Tätigkeit unter Aufsicht und Anleitung durch.</t>
  </si>
  <si>
    <t>Stufe 4 – Selbstständig</t>
  </si>
  <si>
    <t>MA führt die Tätigkeit sicher und selbstständig durch.</t>
  </si>
  <si>
    <t>Stufe 5 – Anleitung anderer</t>
  </si>
  <si>
    <t>MA kann andere anleiten. Kompetenz vollständig erworben.</t>
  </si>
  <si>
    <t>QUALIFIKATIONEN (Dropdown)</t>
  </si>
  <si>
    <t>PFK</t>
  </si>
  <si>
    <t>Pflegefachkraft (3-jährig examiniert)</t>
  </si>
  <si>
    <t>PHK</t>
  </si>
  <si>
    <t>Pflegehilfskraft (1-jährig / ungelernt)</t>
  </si>
  <si>
    <t>Azubi 1.–3. Jahr</t>
  </si>
  <si>
    <t>Auszubildende/r Pflegefachmann/-frau</t>
  </si>
  <si>
    <t>Praxisanleitung</t>
  </si>
  <si>
    <t>Praxisanleiter/in (mind. 300h Weiterbildung)</t>
  </si>
  <si>
    <t>QMB</t>
  </si>
  <si>
    <t>Qualitätsmanagementbeauftragte/r</t>
  </si>
  <si>
    <t>RELEVANZ-KÜRZEL</t>
  </si>
  <si>
    <t>Gilt für alle Qualifikationsstufen</t>
  </si>
  <si>
    <t>Nur für examinierte Pflegefachkräfte</t>
  </si>
  <si>
    <t>Nur PHK</t>
  </si>
  <si>
    <t>Nur für Pflegehilfskräfte</t>
  </si>
  <si>
    <t>Azubi</t>
  </si>
  <si>
    <t>Spezifisch für Auszubildende</t>
  </si>
  <si>
    <t>PFK+PHK</t>
  </si>
  <si>
    <t>Für Fach- und Hilfskräfte gleichermaßen</t>
  </si>
  <si>
    <t>EINTRAGUNG IN STUFEN-FELDER</t>
  </si>
  <si>
    <t>Datum TT.MM.JJ</t>
  </si>
  <si>
    <t>Empfehlen: Datum der Einweisung/Überprüfung eintragen</t>
  </si>
  <si>
    <t>Kürzel</t>
  </si>
  <si>
    <t>Alternativ: Kürzel des Anleiters (z.B. 'MK', 'OP')</t>
  </si>
  <si>
    <t>✓ (Häkchen)</t>
  </si>
  <si>
    <t>Nur für interne Checklisten; für MD-Prüfung Datum bevorzugt</t>
  </si>
  <si>
    <t>leer</t>
  </si>
  <si>
    <t>Noch nicht absolviert / nicht relevant</t>
  </si>
  <si>
    <t>Freigegeben am</t>
  </si>
  <si>
    <t>Datum der offiziellen Kompetenzübertragung (MD-relevant!)</t>
  </si>
  <si>
    <t>MD-PRÜFUNG – WICHTIGE HINWEISE</t>
  </si>
  <si>
    <t>Datum statt Häkchen</t>
  </si>
  <si>
    <t>Datum-Einträge sind rechtssicherer als Häkchen bei MDK/MD-Prüfung</t>
  </si>
  <si>
    <t>Freigabedatum</t>
  </si>
  <si>
    <t>Spalte 'Freigegeben am' = nachweisliche Kompetenzübertragung</t>
  </si>
  <si>
    <t>Unterschriften</t>
  </si>
  <si>
    <t>Stammdatenblatt: MA + PAL + PDL unterschreiben nach Einarbeitung</t>
  </si>
  <si>
    <t>Vollständigkeit</t>
  </si>
  <si>
    <t>Alle SGB XI und SGB V Leistungen im Einsatzbereich erfassen</t>
  </si>
  <si>
    <t>Aufbewahrung</t>
  </si>
  <si>
    <t>Einarbeitungsdokumentation mind. 5 Jahre aufbewahren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</si>
</sst>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0.0\%"/>
    <numFmt numFmtId="166" formatCode="0.0&quot;% (Stufen 1–3 belegt)&quot;"/>
    <numFmt numFmtId="167" formatCode="0.0&quot;% selbstständig (Stufe 4–5)&quot;"/>
    <numFmt numFmtId="168" formatCode="0.0&quot;% selbstständig (Stufe 4+5)&quot;"/>
  </numFmts>
  <fonts count="2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444444"/>
      <name val="Arial"/>
      <charset val="1"/>
    </font>
    <font>
      <sz val="9"/>
      <name val="Arial"/>
      <charset val="1"/>
    </font>
    <font>
      <sz val="9"/>
      <color rgb="FF333333"/>
      <name val="Arial"/>
      <charset val="1"/>
    </font>
    <font>
      <sz val="8"/>
      <color rgb="FF555500"/>
      <name val="Arial"/>
      <charset val="1"/>
    </font>
    <font>
      <i/>
      <sz val="8"/>
      <color rgb="FF555500"/>
      <name val="Arial"/>
      <charset val="1"/>
    </font>
    <font>
      <i/>
      <sz val="8"/>
      <color rgb="FF666666"/>
      <name val="Arial"/>
      <charset val="1"/>
    </font>
    <font>
      <b/>
      <sz val="10"/>
      <name val="Arial"/>
      <charset val="1"/>
    </font>
    <font>
      <b/>
      <sz val="10"/>
      <color rgb="FF1E8449"/>
      <name val="Arial"/>
      <charset val="1"/>
    </font>
    <font>
      <i/>
      <sz val="8"/>
      <color rgb="FF888888"/>
      <name val="Arial"/>
      <charset val="1"/>
    </font>
    <font>
      <b/>
      <sz val="9"/>
      <color rgb="FF555555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E75B6"/>
        <bgColor rgb="FF2980B9"/>
      </patternFill>
    </fill>
    <fill>
      <patternFill patternType="solid">
        <fgColor rgb="FFF0F3F4"/>
        <bgColor rgb="FFF2F3F4"/>
      </patternFill>
    </fill>
    <fill>
      <patternFill patternType="solid">
        <fgColor rgb="FFEBF5FB"/>
        <bgColor rgb="FFEAF2FF"/>
      </patternFill>
    </fill>
    <fill>
      <patternFill patternType="solid">
        <fgColor rgb="FFEAF2FF"/>
        <bgColor rgb="FFEBF5FB"/>
      </patternFill>
    </fill>
    <fill>
      <patternFill patternType="solid">
        <fgColor rgb="FF7D6608"/>
        <bgColor rgb="FF555500"/>
      </patternFill>
    </fill>
    <fill>
      <patternFill patternType="solid">
        <fgColor rgb="FF7F8C8D"/>
        <bgColor rgb="FF888888"/>
      </patternFill>
    </fill>
    <fill>
      <patternFill patternType="solid">
        <fgColor rgb="FF5D6D7E"/>
        <bgColor rgb="FF666666"/>
      </patternFill>
    </fill>
    <fill>
      <patternFill patternType="solid">
        <fgColor rgb="FF2980B9"/>
        <bgColor rgb="FF2E75B6"/>
      </patternFill>
    </fill>
    <fill>
      <patternFill patternType="solid">
        <fgColor rgb="FF27AE60"/>
        <bgColor rgb="FF1E8449"/>
      </patternFill>
    </fill>
    <fill>
      <patternFill patternType="solid">
        <fgColor rgb="FF1E8449"/>
        <bgColor rgb="FF008000"/>
      </patternFill>
    </fill>
    <fill>
      <patternFill patternType="solid">
        <fgColor rgb="FF8E44AD"/>
        <bgColor rgb="FF666666"/>
      </patternFill>
    </fill>
    <fill>
      <patternFill patternType="solid">
        <fgColor rgb="FF2C3E50"/>
        <bgColor rgb="FF333333"/>
      </patternFill>
    </fill>
    <fill>
      <patternFill patternType="solid">
        <fgColor rgb="FFF2F7FB"/>
        <bgColor rgb="FFF8F9FA"/>
      </patternFill>
    </fill>
    <fill>
      <patternFill patternType="solid">
        <fgColor rgb="FFF2F3F4"/>
        <bgColor rgb="FFF0F3F4"/>
      </patternFill>
    </fill>
    <fill>
      <patternFill patternType="solid">
        <fgColor rgb="FFFFF9C4"/>
        <bgColor rgb="FFFDEBD0"/>
      </patternFill>
    </fill>
    <fill>
      <patternFill patternType="solid">
        <fgColor rgb="FFFEF9E7"/>
        <bgColor rgb="FFFFFFF0"/>
      </patternFill>
    </fill>
    <fill>
      <patternFill patternType="solid">
        <fgColor rgb="FFFDEBD0"/>
        <bgColor rgb="FFFFF9C4"/>
      </patternFill>
    </fill>
    <fill>
      <patternFill patternType="solid">
        <fgColor rgb="FFD5F5E3"/>
        <bgColor rgb="FFEBF5FB"/>
      </patternFill>
    </fill>
    <fill>
      <patternFill patternType="solid">
        <fgColor rgb="FFA9DFBF"/>
        <bgColor rgb="FFBDC3C7"/>
      </patternFill>
    </fill>
    <fill>
      <patternFill patternType="solid">
        <fgColor rgb="FFF4ECF7"/>
        <bgColor rgb="FFF2F3F4"/>
      </patternFill>
    </fill>
    <fill>
      <patternFill patternType="solid">
        <fgColor rgb="FFF8F9F9"/>
        <bgColor rgb="FFF8F9FA"/>
      </patternFill>
    </fill>
    <fill>
      <patternFill patternType="solid">
        <fgColor rgb="FFFFFFFF"/>
        <bgColor rgb="FFFFFFF0"/>
      </patternFill>
    </fill>
    <fill>
      <patternFill patternType="solid">
        <fgColor rgb="FFFFFFF0"/>
        <bgColor rgb="FFFFFFFF"/>
      </patternFill>
    </fill>
    <fill>
      <patternFill patternType="solid">
        <fgColor rgb="FFF8F9FA"/>
        <bgColor rgb="FFF8F9F9"/>
      </patternFill>
    </fill>
    <fill>
      <patternFill patternType="solid">
        <fgColor rgb="FFE8DAEF"/>
        <bgColor rgb="FFF4ECF7"/>
      </patternFill>
    </fill>
  </fills>
  <borders count="7">
    <border>
      <left/>
      <right/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  <border>
      <left/>
      <right/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 wrapText="1"/>
    </xf>
    <xf numFmtId="165" fontId="4" fillId="5" borderId="2" xfId="0" applyNumberFormat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left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left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0" fillId="19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0" fillId="21" borderId="2" xfId="0" applyFont="1" applyFill="1" applyBorder="1" applyAlignment="1">
      <alignment horizontal="center" vertical="center" wrapText="1"/>
    </xf>
    <xf numFmtId="164" fontId="0" fillId="22" borderId="2" xfId="0" applyNumberFormat="1" applyFill="1" applyBorder="1" applyAlignment="1">
      <alignment horizontal="center" vertical="center" wrapText="1"/>
    </xf>
    <xf numFmtId="0" fontId="0" fillId="23" borderId="2" xfId="0" applyFill="1" applyBorder="1" applyAlignment="1">
      <alignment horizontal="left" vertical="center" wrapText="1"/>
    </xf>
    <xf numFmtId="0" fontId="9" fillId="24" borderId="2" xfId="0" applyFont="1" applyFill="1" applyBorder="1" applyAlignment="1">
      <alignment horizontal="center" vertical="center" wrapText="1"/>
    </xf>
    <xf numFmtId="0" fontId="10" fillId="24" borderId="2" xfId="0" applyFont="1" applyFill="1" applyBorder="1" applyAlignment="1">
      <alignment horizontal="left" vertical="center" wrapText="1"/>
    </xf>
    <xf numFmtId="0" fontId="18" fillId="24" borderId="2" xfId="0" applyFont="1" applyFill="1" applyBorder="1" applyAlignment="1">
      <alignment horizontal="center" vertical="center" wrapText="1"/>
    </xf>
    <xf numFmtId="0" fontId="19" fillId="24" borderId="2" xfId="0" applyFont="1" applyFill="1" applyBorder="1" applyAlignment="1">
      <alignment horizontal="left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left" vertical="center" wrapText="1"/>
    </xf>
    <xf numFmtId="165" fontId="15" fillId="18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4" fontId="19" fillId="24" borderId="2" xfId="0" applyNumberFormat="1" applyFont="1" applyFill="1" applyBorder="1" applyAlignment="1">
      <alignment horizontal="center" vertical="center" wrapText="1"/>
    </xf>
    <xf numFmtId="0" fontId="19" fillId="24" borderId="2" xfId="0" applyFont="1" applyFill="1" applyBorder="1" applyAlignment="1">
      <alignment horizontal="center" vertical="center" wrapText="1"/>
    </xf>
    <xf numFmtId="164" fontId="19" fillId="15" borderId="2" xfId="0" applyNumberFormat="1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21" fillId="18" borderId="2" xfId="0" applyFont="1" applyFill="1" applyBorder="1" applyAlignment="1">
      <alignment horizontal="left" vertical="center" wrapText="1"/>
    </xf>
    <xf numFmtId="0" fontId="10" fillId="18" borderId="2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left" vertical="center" wrapText="1"/>
    </xf>
    <xf numFmtId="0" fontId="10" fillId="19" borderId="2" xfId="0" applyFont="1" applyFill="1" applyBorder="1" applyAlignment="1">
      <alignment horizontal="left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21" fillId="20" borderId="2" xfId="0" applyFont="1" applyFill="1" applyBorder="1" applyAlignment="1">
      <alignment horizontal="left" vertical="center" wrapText="1"/>
    </xf>
    <xf numFmtId="0" fontId="10" fillId="20" borderId="2" xfId="0" applyFont="1" applyFill="1" applyBorder="1" applyAlignment="1">
      <alignment horizontal="left" vertical="center" wrapText="1"/>
    </xf>
    <xf numFmtId="0" fontId="21" fillId="21" borderId="2" xfId="0" applyFont="1" applyFill="1" applyBorder="1" applyAlignment="1">
      <alignment horizontal="left" vertical="center" wrapText="1"/>
    </xf>
    <xf numFmtId="0" fontId="10" fillId="21" borderId="2" xfId="0" applyFont="1" applyFill="1" applyBorder="1" applyAlignment="1">
      <alignment horizontal="left" vertical="center" wrapText="1"/>
    </xf>
    <xf numFmtId="0" fontId="21" fillId="24" borderId="2" xfId="0" applyFont="1" applyFill="1" applyBorder="1" applyAlignment="1">
      <alignment horizontal="left" vertical="center" wrapText="1"/>
    </xf>
    <xf numFmtId="0" fontId="21" fillId="15" borderId="2" xfId="0" applyFont="1" applyFill="1" applyBorder="1" applyAlignment="1">
      <alignment horizontal="left" vertical="center" wrapText="1"/>
    </xf>
    <xf numFmtId="0" fontId="21" fillId="27" borderId="2" xfId="0" applyFont="1" applyFill="1" applyBorder="1" applyAlignment="1">
      <alignment horizontal="left" vertical="center" wrapText="1"/>
    </xf>
    <xf numFmtId="0" fontId="10" fillId="27" borderId="2" xfId="0" applyFont="1" applyFill="1" applyBorder="1" applyAlignment="1">
      <alignment horizontal="left" vertical="center" wrapText="1"/>
    </xf>
    <xf numFmtId="0" fontId="21" fillId="17" borderId="2" xfId="0" applyFont="1" applyFill="1" applyBorder="1" applyAlignment="1">
      <alignment horizontal="left" vertical="center" wrapText="1"/>
    </xf>
    <xf numFmtId="0" fontId="10" fillId="17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2" fillId="3" borderId="1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top" wrapText="1"/>
    </xf>
    <xf numFmtId="0" fontId="0" fillId="0" borderId="4" xfId="0" applyBorder="1"/>
    <xf numFmtId="0" fontId="0" fillId="0" borderId="6" xfId="0" applyBorder="1"/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3" fillId="25" borderId="1" xfId="0" applyFont="1" applyFill="1" applyBorder="1" applyAlignment="1">
      <alignment horizontal="left" vertical="center" wrapText="1"/>
    </xf>
    <xf numFmtId="166" fontId="15" fillId="5" borderId="1" xfId="0" applyNumberFormat="1" applyFont="1" applyFill="1" applyBorder="1" applyAlignment="1">
      <alignment horizontal="center" vertical="center" wrapText="1"/>
    </xf>
    <xf numFmtId="167" fontId="16" fillId="21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7" fillId="23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68" fontId="16" fillId="21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7D6608"/>
      <rgbColor rgb="FF800080"/>
      <rgbColor rgb="FF1E8449"/>
      <rgbColor rgb="FFBDC3C7"/>
      <rgbColor rgb="FF888888"/>
      <rgbColor rgb="FFF2F7FB"/>
      <rgbColor rgb="FF8E44AD"/>
      <rgbColor rgb="FFFFF9C4"/>
      <rgbColor rgb="FFEBF5FB"/>
      <rgbColor rgb="FF660066"/>
      <rgbColor rgb="FFF8F9FA"/>
      <rgbColor rgb="FF666666"/>
      <rgbColor rgb="FFE8DAEF"/>
      <rgbColor rgb="FF000080"/>
      <rgbColor rgb="FFFF00FF"/>
      <rgbColor rgb="FFFFFFF0"/>
      <rgbColor rgb="FF00FFFF"/>
      <rgbColor rgb="FF800080"/>
      <rgbColor rgb="FF800000"/>
      <rgbColor rgb="FF2980B9"/>
      <rgbColor rgb="FF0000FF"/>
      <rgbColor rgb="FF00CCFF"/>
      <rgbColor rgb="FFEAF2FF"/>
      <rgbColor rgb="FFD5F5E3"/>
      <rgbColor rgb="FFFDEBD0"/>
      <rgbColor rgb="FFA9DFBF"/>
      <rgbColor rgb="FFF2F3F4"/>
      <rgbColor rgb="FFF0F3F4"/>
      <rgbColor rgb="FFF4ECF7"/>
      <rgbColor rgb="FF2E75B6"/>
      <rgbColor rgb="FF33CCCC"/>
      <rgbColor rgb="FF99CC00"/>
      <rgbColor rgb="FFF8F9F9"/>
      <rgbColor rgb="FFFF9900"/>
      <rgbColor rgb="FFE67E22"/>
      <rgbColor rgb="FF5D6D7E"/>
      <rgbColor rgb="FF7F8C8D"/>
      <rgbColor rgb="FF2C3E50"/>
      <rgbColor rgb="FF27AE60"/>
      <rgbColor rgb="FF003300"/>
      <rgbColor rgb="FF444444"/>
      <rgbColor rgb="FF555500"/>
      <rgbColor rgb="FF555555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24"/>
  <sheetViews>
    <sheetView showGridLines="0" zoomScaleNormal="100" workbookViewId="0">
      <selection activeCell="B11" sqref="B11"/>
    </sheetView>
  </sheetViews>
  <sheetFormatPr baseColWidth="10" defaultColWidth="8.6640625" defaultRowHeight="15" x14ac:dyDescent="0.2"/>
  <cols>
    <col min="1" max="1" width="28" customWidth="1"/>
    <col min="2" max="2" width="35" customWidth="1"/>
    <col min="3" max="3" width="28" customWidth="1"/>
    <col min="4" max="4" width="35" customWidth="1"/>
  </cols>
  <sheetData>
    <row r="1" spans="1:4" ht="45" customHeight="1" x14ac:dyDescent="0.2">
      <c r="A1" s="54" t="s">
        <v>0</v>
      </c>
      <c r="B1" s="55"/>
      <c r="C1" s="55"/>
      <c r="D1" s="55"/>
    </row>
    <row r="2" spans="1:4" ht="13.5" customHeight="1" x14ac:dyDescent="0.2"/>
    <row r="3" spans="1:4" ht="24" customHeight="1" x14ac:dyDescent="0.2">
      <c r="A3" s="56" t="s">
        <v>1</v>
      </c>
      <c r="B3" s="55"/>
      <c r="C3" s="55"/>
      <c r="D3" s="55"/>
    </row>
    <row r="4" spans="1:4" ht="24" customHeight="1" x14ac:dyDescent="0.2">
      <c r="A4" s="1" t="s">
        <v>2</v>
      </c>
      <c r="B4" s="2"/>
      <c r="C4" s="1" t="s">
        <v>3</v>
      </c>
      <c r="D4" s="2"/>
    </row>
    <row r="5" spans="1:4" ht="24" customHeight="1" x14ac:dyDescent="0.2">
      <c r="A5" s="1" t="s">
        <v>4</v>
      </c>
      <c r="B5" s="3"/>
      <c r="C5" s="1" t="s">
        <v>5</v>
      </c>
      <c r="D5" s="3"/>
    </row>
    <row r="6" spans="1:4" ht="24" customHeight="1" x14ac:dyDescent="0.2">
      <c r="A6" s="1" t="s">
        <v>6</v>
      </c>
      <c r="B6" s="3"/>
      <c r="C6" s="1" t="s">
        <v>7</v>
      </c>
      <c r="D6" s="2"/>
    </row>
    <row r="7" spans="1:4" ht="24" customHeight="1" x14ac:dyDescent="0.2">
      <c r="A7" s="1" t="s">
        <v>8</v>
      </c>
      <c r="B7" s="2"/>
      <c r="C7" s="1" t="s">
        <v>9</v>
      </c>
      <c r="D7" s="2"/>
    </row>
    <row r="8" spans="1:4" ht="24" customHeight="1" x14ac:dyDescent="0.2">
      <c r="A8" s="1" t="s">
        <v>10</v>
      </c>
      <c r="B8" s="2"/>
      <c r="C8" s="1" t="s">
        <v>11</v>
      </c>
      <c r="D8" s="2"/>
    </row>
    <row r="10" spans="1:4" ht="24" customHeight="1" x14ac:dyDescent="0.2">
      <c r="A10" s="56" t="s">
        <v>12</v>
      </c>
      <c r="B10" s="55"/>
      <c r="C10" s="55"/>
      <c r="D10" s="55"/>
    </row>
    <row r="11" spans="1:4" ht="24" customHeight="1" x14ac:dyDescent="0.2">
      <c r="A11" s="1" t="s">
        <v>13</v>
      </c>
      <c r="B11" s="2"/>
      <c r="C11" s="1" t="s">
        <v>14</v>
      </c>
      <c r="D11" s="2"/>
    </row>
    <row r="12" spans="1:4" ht="24" customHeight="1" x14ac:dyDescent="0.2">
      <c r="A12" s="1" t="s">
        <v>15</v>
      </c>
      <c r="B12" s="2">
        <f>IFERROR(COUNTIF('SGB XI'!E3:I52,"✓")/COUNTA('SGB XI'!A3:A52)*100,0)</f>
        <v>0</v>
      </c>
      <c r="C12" s="1" t="s">
        <v>16</v>
      </c>
      <c r="D12" s="2">
        <f>IFERROR(COUNTIF('SGB V'!E3:I52,"✓")/COUNTA('SGB V'!A3:A52)*100,0)</f>
        <v>0</v>
      </c>
    </row>
    <row r="13" spans="1:4" ht="24" customHeight="1" x14ac:dyDescent="0.2">
      <c r="A13" s="1" t="s">
        <v>17</v>
      </c>
      <c r="B13" s="4">
        <f>IFERROR(AVERAGE(B12,D12),0)</f>
        <v>0</v>
      </c>
      <c r="C13" s="1" t="s">
        <v>18</v>
      </c>
      <c r="D13" s="2"/>
    </row>
    <row r="15" spans="1:4" ht="24" customHeight="1" x14ac:dyDescent="0.2">
      <c r="A15" s="56" t="s">
        <v>19</v>
      </c>
      <c r="B15" s="55"/>
      <c r="C15" s="55"/>
      <c r="D15" s="55"/>
    </row>
    <row r="16" spans="1:4" ht="27.75" customHeight="1" x14ac:dyDescent="0.2">
      <c r="A16" s="1" t="s">
        <v>20</v>
      </c>
      <c r="B16" s="2" t="s">
        <v>21</v>
      </c>
      <c r="C16" s="1" t="s">
        <v>22</v>
      </c>
      <c r="D16" s="2"/>
    </row>
    <row r="17" spans="1:4" ht="27.75" customHeight="1" x14ac:dyDescent="0.2">
      <c r="A17" s="1" t="s">
        <v>23</v>
      </c>
      <c r="B17" s="2" t="s">
        <v>21</v>
      </c>
      <c r="C17" s="1" t="s">
        <v>22</v>
      </c>
      <c r="D17" s="2"/>
    </row>
    <row r="18" spans="1:4" ht="27.75" customHeight="1" x14ac:dyDescent="0.2">
      <c r="A18" s="1" t="s">
        <v>24</v>
      </c>
      <c r="B18" s="2" t="s">
        <v>21</v>
      </c>
      <c r="C18" s="1" t="s">
        <v>22</v>
      </c>
      <c r="D18" s="2"/>
    </row>
    <row r="20" spans="1:4" ht="24" customHeight="1" x14ac:dyDescent="0.2">
      <c r="A20" s="56" t="s">
        <v>25</v>
      </c>
      <c r="B20" s="55"/>
      <c r="C20" s="55"/>
      <c r="D20" s="55"/>
    </row>
    <row r="21" spans="1:4" ht="19.5" customHeight="1" x14ac:dyDescent="0.2">
      <c r="A21" s="57"/>
      <c r="B21" s="58"/>
      <c r="C21" s="58"/>
      <c r="D21" s="58"/>
    </row>
    <row r="22" spans="1:4" ht="19.5" customHeight="1" x14ac:dyDescent="0.2">
      <c r="A22" s="59"/>
      <c r="B22" s="60"/>
      <c r="C22" s="60"/>
      <c r="D22" s="60"/>
    </row>
    <row r="23" spans="1:4" ht="19.5" customHeight="1" x14ac:dyDescent="0.2">
      <c r="A23" s="59"/>
      <c r="B23" s="60"/>
      <c r="C23" s="60"/>
      <c r="D23" s="60"/>
    </row>
    <row r="24" spans="1:4" ht="19.5" customHeight="1" x14ac:dyDescent="0.2">
      <c r="A24" s="59"/>
      <c r="B24" s="60"/>
      <c r="C24" s="60"/>
      <c r="D24" s="60"/>
    </row>
  </sheetData>
  <mergeCells count="6">
    <mergeCell ref="A1:D1"/>
    <mergeCell ref="A3:D3"/>
    <mergeCell ref="A20:D20"/>
    <mergeCell ref="A15:D15"/>
    <mergeCell ref="A21:D24"/>
    <mergeCell ref="A10:D10"/>
  </mergeCells>
  <dataValidations count="5">
    <dataValidation type="list" allowBlank="1" sqref="B7" xr:uid="{00000000-0002-0000-0000-000000000000}">
      <formula1>"PFK, PHK, Pflegehilfskraft, Azubi 1. Jahr, Azubi 2. Jahr, Azubi 3. Jahr, Praxisanleitung, QMB"</formula1>
    </dataValidation>
    <dataValidation type="list" allowBlank="1" sqref="D6" xr:uid="{00000000-0002-0000-0000-000001000000}">
      <formula1>"Vollzeit, Teilzeit 75%, Teilzeit 50%, Teilzeit 25%, Minijob, Ausbildung"</formula1>
    </dataValidation>
    <dataValidation type="list" allowBlank="1" sqref="B8" xr:uid="{00000000-0002-0000-0000-000002000000}">
      <formula1>"1. Jahr, 2. Jahr, 3. Jahr, Nicht zutreffend"</formula1>
    </dataValidation>
    <dataValidation type="list" allowBlank="1" sqref="B11" xr:uid="{00000000-0002-0000-0000-000003000000}">
      <formula1>"Orientierungsphase; Lernphase; Selbstständige Phase; Abgeschlossen"</formula1>
    </dataValidation>
    <dataValidation type="list" allowBlank="1" showInputMessage="1" showErrorMessage="1" sqref="D8" xr:uid="{C7913DD5-CB71-4688-AF5D-C61863F155C7}">
      <formula1>"Silke Bongard-Reusch, Ole Buck, Olga Schulz"</formula1>
    </dataValidation>
  </dataValidations>
  <pageMargins left="0.5" right="0.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K48"/>
  <sheetViews>
    <sheetView showGridLines="0" zoomScaleNormal="100" workbookViewId="0">
      <pane ySplit="3" topLeftCell="A4" activePane="bottomLeft" state="frozen"/>
      <selection pane="bottomLeft" sqref="A1:K1"/>
    </sheetView>
  </sheetViews>
  <sheetFormatPr baseColWidth="10" defaultColWidth="8.6640625" defaultRowHeight="15" x14ac:dyDescent="0.2"/>
  <cols>
    <col min="1" max="1" width="7" customWidth="1"/>
    <col min="2" max="2" width="38" customWidth="1"/>
    <col min="3" max="3" width="12" customWidth="1"/>
    <col min="4" max="4" width="42" customWidth="1"/>
    <col min="5" max="9" width="12" customWidth="1"/>
    <col min="10" max="10" width="15" customWidth="1"/>
    <col min="11" max="11" width="22" customWidth="1"/>
  </cols>
  <sheetData>
    <row r="1" spans="1:11" ht="39.75" customHeight="1" x14ac:dyDescent="0.2">
      <c r="A1" s="62" t="s">
        <v>26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18" customHeight="1" x14ac:dyDescent="0.2">
      <c r="A2" s="61" t="s">
        <v>27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1" ht="36" customHeight="1" x14ac:dyDescent="0.2">
      <c r="A3" s="5" t="s">
        <v>28</v>
      </c>
      <c r="B3" s="5" t="s">
        <v>29</v>
      </c>
      <c r="C3" s="6" t="s">
        <v>30</v>
      </c>
      <c r="D3" s="7" t="s">
        <v>31</v>
      </c>
      <c r="E3" s="8" t="s">
        <v>32</v>
      </c>
      <c r="F3" s="9" t="s">
        <v>33</v>
      </c>
      <c r="G3" s="10" t="s">
        <v>34</v>
      </c>
      <c r="H3" s="11" t="s">
        <v>35</v>
      </c>
      <c r="I3" s="12" t="s">
        <v>36</v>
      </c>
      <c r="J3" s="13" t="s">
        <v>37</v>
      </c>
      <c r="K3" s="14" t="s">
        <v>38</v>
      </c>
    </row>
    <row r="4" spans="1:11" ht="19.5" customHeight="1" x14ac:dyDescent="0.2">
      <c r="A4" s="64" t="s">
        <v>39</v>
      </c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1" ht="30" customHeight="1" x14ac:dyDescent="0.2">
      <c r="A5" s="15" t="s">
        <v>40</v>
      </c>
      <c r="B5" s="16" t="s">
        <v>41</v>
      </c>
      <c r="C5" s="17" t="s">
        <v>42</v>
      </c>
      <c r="D5" s="18" t="s">
        <v>43</v>
      </c>
      <c r="E5" s="19"/>
      <c r="F5" s="20"/>
      <c r="G5" s="21"/>
      <c r="H5" s="22"/>
      <c r="I5" s="23"/>
      <c r="J5" s="24"/>
      <c r="K5" s="25"/>
    </row>
    <row r="6" spans="1:11" ht="30" customHeight="1" x14ac:dyDescent="0.2">
      <c r="A6" s="26" t="s">
        <v>44</v>
      </c>
      <c r="B6" s="27" t="s">
        <v>45</v>
      </c>
      <c r="C6" s="17" t="s">
        <v>42</v>
      </c>
      <c r="D6" s="18" t="s">
        <v>46</v>
      </c>
      <c r="E6" s="19"/>
      <c r="F6" s="20"/>
      <c r="G6" s="21"/>
      <c r="H6" s="22"/>
      <c r="I6" s="23"/>
      <c r="J6" s="24"/>
      <c r="K6" s="25"/>
    </row>
    <row r="7" spans="1:11" ht="30" customHeight="1" x14ac:dyDescent="0.2">
      <c r="A7" s="15" t="s">
        <v>47</v>
      </c>
      <c r="B7" s="16" t="s">
        <v>48</v>
      </c>
      <c r="C7" s="17" t="s">
        <v>42</v>
      </c>
      <c r="D7" s="18" t="s">
        <v>49</v>
      </c>
      <c r="E7" s="19"/>
      <c r="F7" s="20"/>
      <c r="G7" s="21"/>
      <c r="H7" s="22"/>
      <c r="I7" s="23"/>
      <c r="J7" s="24"/>
      <c r="K7" s="25"/>
    </row>
    <row r="8" spans="1:11" ht="30" customHeight="1" x14ac:dyDescent="0.2">
      <c r="A8" s="26" t="s">
        <v>50</v>
      </c>
      <c r="B8" s="27" t="s">
        <v>51</v>
      </c>
      <c r="C8" s="17" t="s">
        <v>42</v>
      </c>
      <c r="D8" s="18" t="s">
        <v>52</v>
      </c>
      <c r="E8" s="19"/>
      <c r="F8" s="20"/>
      <c r="G8" s="21"/>
      <c r="H8" s="22"/>
      <c r="I8" s="23"/>
      <c r="J8" s="24"/>
      <c r="K8" s="25"/>
    </row>
    <row r="9" spans="1:11" ht="30" customHeight="1" x14ac:dyDescent="0.2">
      <c r="A9" s="15" t="s">
        <v>53</v>
      </c>
      <c r="B9" s="16" t="s">
        <v>54</v>
      </c>
      <c r="C9" s="17" t="s">
        <v>42</v>
      </c>
      <c r="D9" s="18" t="s">
        <v>55</v>
      </c>
      <c r="E9" s="19"/>
      <c r="F9" s="20"/>
      <c r="G9" s="21"/>
      <c r="H9" s="22"/>
      <c r="I9" s="23"/>
      <c r="J9" s="24"/>
      <c r="K9" s="25"/>
    </row>
    <row r="10" spans="1:11" ht="30" customHeight="1" x14ac:dyDescent="0.2">
      <c r="A10" s="26" t="s">
        <v>56</v>
      </c>
      <c r="B10" s="27" t="s">
        <v>57</v>
      </c>
      <c r="C10" s="17" t="s">
        <v>58</v>
      </c>
      <c r="D10" s="18" t="s">
        <v>59</v>
      </c>
      <c r="E10" s="19"/>
      <c r="F10" s="20"/>
      <c r="G10" s="21"/>
      <c r="H10" s="22"/>
      <c r="I10" s="23"/>
      <c r="J10" s="24"/>
      <c r="K10" s="25"/>
    </row>
    <row r="11" spans="1:11" ht="30" customHeight="1" x14ac:dyDescent="0.2">
      <c r="A11" s="15" t="s">
        <v>60</v>
      </c>
      <c r="B11" s="16" t="s">
        <v>61</v>
      </c>
      <c r="C11" s="17" t="s">
        <v>42</v>
      </c>
      <c r="D11" s="18" t="s">
        <v>62</v>
      </c>
      <c r="E11" s="19"/>
      <c r="F11" s="20"/>
      <c r="G11" s="21"/>
      <c r="H11" s="22"/>
      <c r="I11" s="23"/>
      <c r="J11" s="24"/>
      <c r="K11" s="25"/>
    </row>
    <row r="12" spans="1:11" ht="30" customHeight="1" x14ac:dyDescent="0.2">
      <c r="A12" s="26" t="s">
        <v>63</v>
      </c>
      <c r="B12" s="27" t="s">
        <v>64</v>
      </c>
      <c r="C12" s="17" t="s">
        <v>42</v>
      </c>
      <c r="D12" s="18" t="s">
        <v>65</v>
      </c>
      <c r="E12" s="19"/>
      <c r="F12" s="20"/>
      <c r="G12" s="21"/>
      <c r="H12" s="22"/>
      <c r="I12" s="23"/>
      <c r="J12" s="24"/>
      <c r="K12" s="25"/>
    </row>
    <row r="13" spans="1:11" ht="19.5" customHeight="1" x14ac:dyDescent="0.2">
      <c r="A13" s="64" t="s">
        <v>66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</row>
    <row r="14" spans="1:11" ht="30" customHeight="1" x14ac:dyDescent="0.2">
      <c r="A14" s="65" t="s">
        <v>67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</row>
    <row r="15" spans="1:11" ht="30" customHeight="1" x14ac:dyDescent="0.2">
      <c r="A15" s="15" t="s">
        <v>68</v>
      </c>
      <c r="B15" s="16" t="s">
        <v>69</v>
      </c>
      <c r="C15" s="17" t="s">
        <v>42</v>
      </c>
      <c r="D15" s="18" t="s">
        <v>70</v>
      </c>
      <c r="E15" s="19"/>
      <c r="F15" s="20"/>
      <c r="G15" s="21"/>
      <c r="H15" s="22"/>
      <c r="I15" s="23"/>
      <c r="J15" s="24"/>
      <c r="K15" s="25"/>
    </row>
    <row r="16" spans="1:11" ht="30" customHeight="1" x14ac:dyDescent="0.2">
      <c r="A16" s="26" t="s">
        <v>71</v>
      </c>
      <c r="B16" s="27" t="s">
        <v>72</v>
      </c>
      <c r="C16" s="17" t="s">
        <v>42</v>
      </c>
      <c r="D16" s="18" t="s">
        <v>73</v>
      </c>
      <c r="E16" s="19"/>
      <c r="F16" s="20"/>
      <c r="G16" s="21"/>
      <c r="H16" s="22"/>
      <c r="I16" s="23"/>
      <c r="J16" s="24"/>
      <c r="K16" s="25"/>
    </row>
    <row r="17" spans="1:11" ht="30" customHeight="1" x14ac:dyDescent="0.2">
      <c r="A17" s="15" t="s">
        <v>74</v>
      </c>
      <c r="B17" s="16" t="s">
        <v>75</v>
      </c>
      <c r="C17" s="17" t="s">
        <v>42</v>
      </c>
      <c r="D17" s="18" t="s">
        <v>76</v>
      </c>
      <c r="E17" s="19"/>
      <c r="F17" s="20"/>
      <c r="G17" s="21"/>
      <c r="H17" s="22"/>
      <c r="I17" s="23"/>
      <c r="J17" s="24"/>
      <c r="K17" s="25"/>
    </row>
    <row r="18" spans="1:11" ht="30" customHeight="1" x14ac:dyDescent="0.2">
      <c r="A18" s="26" t="s">
        <v>77</v>
      </c>
      <c r="B18" s="27" t="s">
        <v>78</v>
      </c>
      <c r="C18" s="17" t="s">
        <v>42</v>
      </c>
      <c r="D18" s="18" t="s">
        <v>79</v>
      </c>
      <c r="E18" s="19"/>
      <c r="F18" s="20"/>
      <c r="G18" s="21"/>
      <c r="H18" s="22"/>
      <c r="I18" s="23"/>
      <c r="J18" s="24"/>
      <c r="K18" s="25"/>
    </row>
    <row r="19" spans="1:11" ht="30" customHeight="1" x14ac:dyDescent="0.2">
      <c r="A19" s="15" t="s">
        <v>80</v>
      </c>
      <c r="B19" s="16" t="s">
        <v>81</v>
      </c>
      <c r="C19" s="17" t="s">
        <v>42</v>
      </c>
      <c r="D19" s="18" t="s">
        <v>82</v>
      </c>
      <c r="E19" s="19"/>
      <c r="F19" s="20"/>
      <c r="G19" s="21"/>
      <c r="H19" s="22"/>
      <c r="I19" s="23"/>
      <c r="J19" s="24"/>
      <c r="K19" s="25"/>
    </row>
    <row r="20" spans="1:11" ht="30" customHeight="1" x14ac:dyDescent="0.2">
      <c r="A20" s="26" t="s">
        <v>83</v>
      </c>
      <c r="B20" s="27" t="s">
        <v>84</v>
      </c>
      <c r="C20" s="17" t="s">
        <v>42</v>
      </c>
      <c r="D20" s="18" t="s">
        <v>85</v>
      </c>
      <c r="E20" s="19"/>
      <c r="F20" s="20"/>
      <c r="G20" s="21"/>
      <c r="H20" s="22"/>
      <c r="I20" s="23"/>
      <c r="J20" s="24"/>
      <c r="K20" s="25"/>
    </row>
    <row r="21" spans="1:11" ht="30" customHeight="1" x14ac:dyDescent="0.2">
      <c r="A21" s="15" t="s">
        <v>86</v>
      </c>
      <c r="B21" s="16" t="s">
        <v>87</v>
      </c>
      <c r="C21" s="17" t="s">
        <v>42</v>
      </c>
      <c r="D21" s="18" t="s">
        <v>88</v>
      </c>
      <c r="E21" s="19"/>
      <c r="F21" s="20"/>
      <c r="G21" s="21"/>
      <c r="H21" s="22"/>
      <c r="I21" s="23"/>
      <c r="J21" s="24"/>
      <c r="K21" s="25"/>
    </row>
    <row r="22" spans="1:11" ht="30" customHeight="1" x14ac:dyDescent="0.2">
      <c r="A22" s="26" t="s">
        <v>89</v>
      </c>
      <c r="B22" s="27" t="s">
        <v>90</v>
      </c>
      <c r="C22" s="17" t="s">
        <v>42</v>
      </c>
      <c r="D22" s="18" t="s">
        <v>91</v>
      </c>
      <c r="E22" s="19"/>
      <c r="F22" s="20"/>
      <c r="G22" s="21"/>
      <c r="H22" s="22"/>
      <c r="I22" s="23"/>
      <c r="J22" s="24"/>
      <c r="K22" s="25"/>
    </row>
    <row r="23" spans="1:11" ht="19.5" customHeight="1" x14ac:dyDescent="0.2">
      <c r="A23" s="64" t="s">
        <v>92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</row>
    <row r="24" spans="1:11" ht="30" customHeight="1" x14ac:dyDescent="0.2">
      <c r="A24" s="65" t="s">
        <v>93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</row>
    <row r="25" spans="1:11" ht="30" customHeight="1" x14ac:dyDescent="0.2">
      <c r="A25" s="15" t="s">
        <v>94</v>
      </c>
      <c r="B25" s="16" t="s">
        <v>95</v>
      </c>
      <c r="C25" s="17" t="s">
        <v>42</v>
      </c>
      <c r="D25" s="18" t="s">
        <v>96</v>
      </c>
      <c r="E25" s="19"/>
      <c r="F25" s="20"/>
      <c r="G25" s="21"/>
      <c r="H25" s="22"/>
      <c r="I25" s="23"/>
      <c r="J25" s="24"/>
      <c r="K25" s="25"/>
    </row>
    <row r="26" spans="1:11" ht="30" customHeight="1" x14ac:dyDescent="0.2">
      <c r="A26" s="26" t="s">
        <v>97</v>
      </c>
      <c r="B26" s="27" t="s">
        <v>98</v>
      </c>
      <c r="C26" s="17" t="s">
        <v>42</v>
      </c>
      <c r="D26" s="18" t="s">
        <v>96</v>
      </c>
      <c r="E26" s="19"/>
      <c r="F26" s="20"/>
      <c r="G26" s="21"/>
      <c r="H26" s="22"/>
      <c r="I26" s="23"/>
      <c r="J26" s="24"/>
      <c r="K26" s="25"/>
    </row>
    <row r="27" spans="1:11" ht="30" customHeight="1" x14ac:dyDescent="0.2">
      <c r="A27" s="15" t="s">
        <v>99</v>
      </c>
      <c r="B27" s="16" t="s">
        <v>100</v>
      </c>
      <c r="C27" s="17" t="s">
        <v>42</v>
      </c>
      <c r="D27" s="18" t="s">
        <v>96</v>
      </c>
      <c r="E27" s="19"/>
      <c r="F27" s="20"/>
      <c r="G27" s="21"/>
      <c r="H27" s="22"/>
      <c r="I27" s="23"/>
      <c r="J27" s="24"/>
      <c r="K27" s="25"/>
    </row>
    <row r="28" spans="1:11" ht="30" customHeight="1" x14ac:dyDescent="0.2">
      <c r="A28" s="26" t="s">
        <v>101</v>
      </c>
      <c r="B28" s="27" t="s">
        <v>102</v>
      </c>
      <c r="C28" s="17" t="s">
        <v>42</v>
      </c>
      <c r="D28" s="18" t="s">
        <v>96</v>
      </c>
      <c r="E28" s="19"/>
      <c r="F28" s="20"/>
      <c r="G28" s="21"/>
      <c r="H28" s="22"/>
      <c r="I28" s="23"/>
      <c r="J28" s="24"/>
      <c r="K28" s="25"/>
    </row>
    <row r="29" spans="1:11" ht="19.5" customHeight="1" x14ac:dyDescent="0.2">
      <c r="A29" s="64" t="s">
        <v>103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</row>
    <row r="30" spans="1:11" ht="30" customHeight="1" x14ac:dyDescent="0.2">
      <c r="A30" s="15" t="s">
        <v>104</v>
      </c>
      <c r="B30" s="16" t="s">
        <v>105</v>
      </c>
      <c r="C30" s="17" t="s">
        <v>42</v>
      </c>
      <c r="D30" s="18" t="s">
        <v>106</v>
      </c>
      <c r="E30" s="19"/>
      <c r="F30" s="20"/>
      <c r="G30" s="21"/>
      <c r="H30" s="22"/>
      <c r="I30" s="23"/>
      <c r="J30" s="24"/>
      <c r="K30" s="25"/>
    </row>
    <row r="31" spans="1:11" ht="30" customHeight="1" x14ac:dyDescent="0.2">
      <c r="A31" s="26" t="s">
        <v>107</v>
      </c>
      <c r="B31" s="27" t="s">
        <v>108</v>
      </c>
      <c r="C31" s="17" t="s">
        <v>42</v>
      </c>
      <c r="D31" s="18" t="s">
        <v>109</v>
      </c>
      <c r="E31" s="19"/>
      <c r="F31" s="20"/>
      <c r="G31" s="21"/>
      <c r="H31" s="22"/>
      <c r="I31" s="23"/>
      <c r="J31" s="24"/>
      <c r="K31" s="25"/>
    </row>
    <row r="32" spans="1:11" ht="30" customHeight="1" x14ac:dyDescent="0.2">
      <c r="A32" s="15" t="s">
        <v>110</v>
      </c>
      <c r="B32" s="16" t="s">
        <v>111</v>
      </c>
      <c r="C32" s="17" t="s">
        <v>42</v>
      </c>
      <c r="D32" s="18" t="s">
        <v>112</v>
      </c>
      <c r="E32" s="19"/>
      <c r="F32" s="20"/>
      <c r="G32" s="21"/>
      <c r="H32" s="22"/>
      <c r="I32" s="23"/>
      <c r="J32" s="24"/>
      <c r="K32" s="25"/>
    </row>
    <row r="33" spans="1:11" ht="30" customHeight="1" x14ac:dyDescent="0.2">
      <c r="A33" s="26" t="s">
        <v>113</v>
      </c>
      <c r="B33" s="27" t="s">
        <v>114</v>
      </c>
      <c r="C33" s="17" t="s">
        <v>42</v>
      </c>
      <c r="D33" s="18" t="s">
        <v>115</v>
      </c>
      <c r="E33" s="19"/>
      <c r="F33" s="20"/>
      <c r="G33" s="21"/>
      <c r="H33" s="22"/>
      <c r="I33" s="23"/>
      <c r="J33" s="24"/>
      <c r="K33" s="25"/>
    </row>
    <row r="34" spans="1:11" ht="30" customHeight="1" x14ac:dyDescent="0.2">
      <c r="A34" s="15" t="s">
        <v>116</v>
      </c>
      <c r="B34" s="16" t="s">
        <v>117</v>
      </c>
      <c r="C34" s="17" t="s">
        <v>42</v>
      </c>
      <c r="D34" s="18" t="s">
        <v>118</v>
      </c>
      <c r="E34" s="19"/>
      <c r="F34" s="20"/>
      <c r="G34" s="21"/>
      <c r="H34" s="22"/>
      <c r="I34" s="23"/>
      <c r="J34" s="24"/>
      <c r="K34" s="25"/>
    </row>
    <row r="35" spans="1:11" ht="30" customHeight="1" x14ac:dyDescent="0.2">
      <c r="A35" s="26" t="s">
        <v>119</v>
      </c>
      <c r="B35" s="27" t="s">
        <v>120</v>
      </c>
      <c r="C35" s="17" t="s">
        <v>42</v>
      </c>
      <c r="D35" s="18" t="s">
        <v>121</v>
      </c>
      <c r="E35" s="19"/>
      <c r="F35" s="20"/>
      <c r="G35" s="21"/>
      <c r="H35" s="22"/>
      <c r="I35" s="23"/>
      <c r="J35" s="24"/>
      <c r="K35" s="25"/>
    </row>
    <row r="36" spans="1:11" ht="30" customHeight="1" x14ac:dyDescent="0.2">
      <c r="A36" s="15" t="s">
        <v>122</v>
      </c>
      <c r="B36" s="16" t="s">
        <v>123</v>
      </c>
      <c r="C36" s="17" t="s">
        <v>42</v>
      </c>
      <c r="D36" s="18" t="s">
        <v>124</v>
      </c>
      <c r="E36" s="19"/>
      <c r="F36" s="20"/>
      <c r="G36" s="21"/>
      <c r="H36" s="22"/>
      <c r="I36" s="23"/>
      <c r="J36" s="24"/>
      <c r="K36" s="25"/>
    </row>
    <row r="37" spans="1:11" ht="30" customHeight="1" x14ac:dyDescent="0.2">
      <c r="A37" s="26" t="s">
        <v>125</v>
      </c>
      <c r="B37" s="27" t="s">
        <v>126</v>
      </c>
      <c r="C37" s="17" t="s">
        <v>42</v>
      </c>
      <c r="D37" s="18" t="s">
        <v>127</v>
      </c>
      <c r="E37" s="19"/>
      <c r="F37" s="20"/>
      <c r="G37" s="21"/>
      <c r="H37" s="22"/>
      <c r="I37" s="23"/>
      <c r="J37" s="24"/>
      <c r="K37" s="25"/>
    </row>
    <row r="38" spans="1:11" ht="30" customHeight="1" x14ac:dyDescent="0.2">
      <c r="A38" s="15" t="s">
        <v>128</v>
      </c>
      <c r="B38" s="16" t="s">
        <v>129</v>
      </c>
      <c r="C38" s="17" t="s">
        <v>42</v>
      </c>
      <c r="D38" s="18" t="s">
        <v>130</v>
      </c>
      <c r="E38" s="19"/>
      <c r="F38" s="20"/>
      <c r="G38" s="21"/>
      <c r="H38" s="22"/>
      <c r="I38" s="23"/>
      <c r="J38" s="24"/>
      <c r="K38" s="25"/>
    </row>
    <row r="39" spans="1:11" ht="19.5" customHeight="1" x14ac:dyDescent="0.2">
      <c r="A39" s="64" t="s">
        <v>131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</row>
    <row r="40" spans="1:11" ht="30" customHeight="1" x14ac:dyDescent="0.2">
      <c r="A40" s="26" t="s">
        <v>132</v>
      </c>
      <c r="B40" s="27" t="s">
        <v>133</v>
      </c>
      <c r="C40" s="17" t="s">
        <v>42</v>
      </c>
      <c r="D40" s="18" t="s">
        <v>134</v>
      </c>
      <c r="E40" s="19"/>
      <c r="F40" s="20"/>
      <c r="G40" s="21"/>
      <c r="H40" s="22"/>
      <c r="I40" s="23"/>
      <c r="J40" s="24"/>
      <c r="K40" s="25"/>
    </row>
    <row r="41" spans="1:11" ht="30" customHeight="1" x14ac:dyDescent="0.2">
      <c r="A41" s="15" t="s">
        <v>135</v>
      </c>
      <c r="B41" s="16" t="s">
        <v>136</v>
      </c>
      <c r="C41" s="17" t="s">
        <v>42</v>
      </c>
      <c r="D41" s="18" t="s">
        <v>137</v>
      </c>
      <c r="E41" s="19"/>
      <c r="F41" s="20"/>
      <c r="G41" s="21"/>
      <c r="H41" s="22"/>
      <c r="I41" s="23"/>
      <c r="J41" s="24"/>
      <c r="K41" s="25"/>
    </row>
    <row r="42" spans="1:11" ht="30" customHeight="1" x14ac:dyDescent="0.2">
      <c r="A42" s="26" t="s">
        <v>138</v>
      </c>
      <c r="B42" s="27" t="s">
        <v>139</v>
      </c>
      <c r="C42" s="17" t="s">
        <v>58</v>
      </c>
      <c r="D42" s="18" t="s">
        <v>140</v>
      </c>
      <c r="E42" s="19"/>
      <c r="F42" s="20"/>
      <c r="G42" s="21"/>
      <c r="H42" s="22"/>
      <c r="I42" s="23"/>
      <c r="J42" s="24"/>
      <c r="K42" s="25"/>
    </row>
    <row r="43" spans="1:11" ht="30" customHeight="1" x14ac:dyDescent="0.2">
      <c r="A43" s="15" t="s">
        <v>141</v>
      </c>
      <c r="B43" s="16" t="s">
        <v>142</v>
      </c>
      <c r="C43" s="17" t="s">
        <v>58</v>
      </c>
      <c r="D43" s="18" t="s">
        <v>143</v>
      </c>
      <c r="E43" s="19"/>
      <c r="F43" s="20"/>
      <c r="G43" s="21"/>
      <c r="H43" s="22"/>
      <c r="I43" s="23"/>
      <c r="J43" s="24"/>
      <c r="K43" s="25"/>
    </row>
    <row r="44" spans="1:11" ht="30" customHeight="1" x14ac:dyDescent="0.2">
      <c r="A44" s="26" t="s">
        <v>144</v>
      </c>
      <c r="B44" s="27" t="s">
        <v>145</v>
      </c>
      <c r="C44" s="17" t="s">
        <v>58</v>
      </c>
      <c r="D44" s="18" t="s">
        <v>146</v>
      </c>
      <c r="E44" s="19"/>
      <c r="F44" s="20"/>
      <c r="G44" s="21"/>
      <c r="H44" s="22"/>
      <c r="I44" s="23"/>
      <c r="J44" s="24"/>
      <c r="K44" s="25"/>
    </row>
    <row r="45" spans="1:11" ht="19.5" customHeight="1" x14ac:dyDescent="0.2">
      <c r="A45" s="64" t="s">
        <v>147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</row>
    <row r="46" spans="1:11" ht="30" customHeight="1" x14ac:dyDescent="0.2">
      <c r="A46" s="15" t="s">
        <v>148</v>
      </c>
      <c r="B46" s="16" t="s">
        <v>149</v>
      </c>
      <c r="C46" s="17" t="s">
        <v>42</v>
      </c>
      <c r="D46" s="18" t="s">
        <v>150</v>
      </c>
      <c r="E46" s="19"/>
      <c r="F46" s="20"/>
      <c r="G46" s="21"/>
      <c r="H46" s="22"/>
      <c r="I46" s="23"/>
      <c r="J46" s="24"/>
      <c r="K46" s="25"/>
    </row>
    <row r="47" spans="1:11" ht="18" customHeight="1" x14ac:dyDescent="0.2">
      <c r="A47" s="63" t="s">
        <v>151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</row>
    <row r="48" spans="1:11" ht="24" customHeight="1" x14ac:dyDescent="0.2">
      <c r="A48" s="68" t="s">
        <v>152</v>
      </c>
      <c r="B48" s="55"/>
      <c r="C48" s="55"/>
      <c r="D48" s="66">
        <f>COUNTA(E4:G46)/MAX(1,COUNTA(B4:B46)*3)*100</f>
        <v>0</v>
      </c>
      <c r="E48" s="55"/>
      <c r="F48" s="55"/>
      <c r="G48" s="55"/>
      <c r="H48" s="67">
        <f>COUNTA(H4:I46)/MAX(1,COUNTA(B4:B46)*2)*100</f>
        <v>0</v>
      </c>
      <c r="I48" s="55"/>
      <c r="J48" s="69" t="s">
        <v>153</v>
      </c>
      <c r="K48" s="55"/>
    </row>
  </sheetData>
  <mergeCells count="15">
    <mergeCell ref="D48:G48"/>
    <mergeCell ref="A4:K4"/>
    <mergeCell ref="A39:K39"/>
    <mergeCell ref="H48:I48"/>
    <mergeCell ref="A29:K29"/>
    <mergeCell ref="A24:K24"/>
    <mergeCell ref="A48:C48"/>
    <mergeCell ref="J48:K48"/>
    <mergeCell ref="A2:K2"/>
    <mergeCell ref="A1:K1"/>
    <mergeCell ref="A47:K47"/>
    <mergeCell ref="A13:K13"/>
    <mergeCell ref="A14:K14"/>
    <mergeCell ref="A45:K45"/>
    <mergeCell ref="A23:K23"/>
  </mergeCells>
  <dataValidations count="1">
    <dataValidation type="list" allowBlank="1" sqref="C4:C70" xr:uid="{00000000-0002-0000-0100-000000000000}">
      <formula1>"Alle; Nur PFK; Nur PHK; Azubi; PFK+PHK"</formula1>
    </dataValidation>
  </dataValidations>
  <pageMargins left="0.4" right="0.4" top="0.6" bottom="0.6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80B9"/>
  </sheetPr>
  <dimension ref="A1:J42"/>
  <sheetViews>
    <sheetView showGridLines="0"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6" customWidth="1"/>
    <col min="2" max="2" width="38" customWidth="1"/>
    <col min="3" max="3" width="14" customWidth="1"/>
    <col min="4" max="8" width="12" customWidth="1"/>
    <col min="9" max="9" width="16" customWidth="1"/>
    <col min="10" max="10" width="22" customWidth="1"/>
  </cols>
  <sheetData>
    <row r="1" spans="1:10" ht="39.75" customHeight="1" x14ac:dyDescent="0.2">
      <c r="A1" s="62" t="s">
        <v>154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9.5" customHeight="1" x14ac:dyDescent="0.2">
      <c r="A2" s="71" t="s">
        <v>155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31.5" customHeight="1" x14ac:dyDescent="0.2">
      <c r="A3" s="5" t="s">
        <v>28</v>
      </c>
      <c r="B3" s="5" t="s">
        <v>156</v>
      </c>
      <c r="C3" s="6" t="s">
        <v>30</v>
      </c>
      <c r="D3" s="8" t="s">
        <v>157</v>
      </c>
      <c r="E3" s="9" t="s">
        <v>33</v>
      </c>
      <c r="F3" s="10" t="s">
        <v>34</v>
      </c>
      <c r="G3" s="11" t="s">
        <v>35</v>
      </c>
      <c r="H3" s="12" t="s">
        <v>36</v>
      </c>
      <c r="I3" s="13" t="s">
        <v>37</v>
      </c>
      <c r="J3" s="14" t="s">
        <v>38</v>
      </c>
    </row>
    <row r="4" spans="1:10" ht="19.5" customHeight="1" x14ac:dyDescent="0.2">
      <c r="A4" s="64" t="s">
        <v>158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21.75" customHeight="1" x14ac:dyDescent="0.2">
      <c r="A5" s="28" t="s">
        <v>159</v>
      </c>
      <c r="B5" s="29" t="s">
        <v>160</v>
      </c>
      <c r="C5" s="17" t="s">
        <v>58</v>
      </c>
      <c r="D5" s="19"/>
      <c r="E5" s="20"/>
      <c r="F5" s="21"/>
      <c r="G5" s="22"/>
      <c r="H5" s="23"/>
      <c r="I5" s="24"/>
      <c r="J5" s="25"/>
    </row>
    <row r="6" spans="1:10" ht="21.75" customHeight="1" x14ac:dyDescent="0.2">
      <c r="A6" s="30" t="s">
        <v>161</v>
      </c>
      <c r="B6" s="31" t="s">
        <v>162</v>
      </c>
      <c r="C6" s="17" t="s">
        <v>58</v>
      </c>
      <c r="D6" s="19"/>
      <c r="E6" s="20"/>
      <c r="F6" s="21"/>
      <c r="G6" s="22"/>
      <c r="H6" s="23"/>
      <c r="I6" s="24"/>
      <c r="J6" s="25"/>
    </row>
    <row r="7" spans="1:10" ht="21.75" customHeight="1" x14ac:dyDescent="0.2">
      <c r="A7" s="28" t="s">
        <v>163</v>
      </c>
      <c r="B7" s="29" t="s">
        <v>164</v>
      </c>
      <c r="C7" s="17" t="s">
        <v>58</v>
      </c>
      <c r="D7" s="19"/>
      <c r="E7" s="20"/>
      <c r="F7" s="21"/>
      <c r="G7" s="22"/>
      <c r="H7" s="23"/>
      <c r="I7" s="24"/>
      <c r="J7" s="25"/>
    </row>
    <row r="8" spans="1:10" ht="21.75" customHeight="1" x14ac:dyDescent="0.2">
      <c r="A8" s="30" t="s">
        <v>165</v>
      </c>
      <c r="B8" s="31" t="s">
        <v>166</v>
      </c>
      <c r="C8" s="17" t="s">
        <v>58</v>
      </c>
      <c r="D8" s="19"/>
      <c r="E8" s="20"/>
      <c r="F8" s="21"/>
      <c r="G8" s="22"/>
      <c r="H8" s="23"/>
      <c r="I8" s="24"/>
      <c r="J8" s="25"/>
    </row>
    <row r="9" spans="1:10" ht="21.75" customHeight="1" x14ac:dyDescent="0.2">
      <c r="A9" s="28" t="s">
        <v>167</v>
      </c>
      <c r="B9" s="29" t="s">
        <v>168</v>
      </c>
      <c r="C9" s="17" t="s">
        <v>58</v>
      </c>
      <c r="D9" s="19"/>
      <c r="E9" s="20"/>
      <c r="F9" s="21"/>
      <c r="G9" s="22"/>
      <c r="H9" s="23"/>
      <c r="I9" s="24"/>
      <c r="J9" s="25"/>
    </row>
    <row r="10" spans="1:10" ht="21.75" customHeight="1" x14ac:dyDescent="0.2">
      <c r="A10" s="30" t="s">
        <v>169</v>
      </c>
      <c r="B10" s="31" t="s">
        <v>170</v>
      </c>
      <c r="C10" s="17" t="s">
        <v>58</v>
      </c>
      <c r="D10" s="19"/>
      <c r="E10" s="20"/>
      <c r="F10" s="21"/>
      <c r="G10" s="22"/>
      <c r="H10" s="23"/>
      <c r="I10" s="24"/>
      <c r="J10" s="25"/>
    </row>
    <row r="11" spans="1:10" ht="21.75" customHeight="1" x14ac:dyDescent="0.2">
      <c r="A11" s="28" t="s">
        <v>171</v>
      </c>
      <c r="B11" s="29" t="s">
        <v>172</v>
      </c>
      <c r="C11" s="17" t="s">
        <v>58</v>
      </c>
      <c r="D11" s="19"/>
      <c r="E11" s="20"/>
      <c r="F11" s="21"/>
      <c r="G11" s="22"/>
      <c r="H11" s="23"/>
      <c r="I11" s="24"/>
      <c r="J11" s="25"/>
    </row>
    <row r="12" spans="1:10" ht="21.75" customHeight="1" x14ac:dyDescent="0.2">
      <c r="A12" s="30" t="s">
        <v>173</v>
      </c>
      <c r="B12" s="31" t="s">
        <v>174</v>
      </c>
      <c r="C12" s="17" t="s">
        <v>58</v>
      </c>
      <c r="D12" s="19"/>
      <c r="E12" s="20"/>
      <c r="F12" s="21"/>
      <c r="G12" s="22"/>
      <c r="H12" s="23"/>
      <c r="I12" s="24"/>
      <c r="J12" s="25"/>
    </row>
    <row r="13" spans="1:10" ht="19.5" customHeight="1" x14ac:dyDescent="0.2">
      <c r="A13" s="64" t="s">
        <v>175</v>
      </c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21.75" customHeight="1" x14ac:dyDescent="0.2">
      <c r="A14" s="30" t="s">
        <v>176</v>
      </c>
      <c r="B14" s="31" t="s">
        <v>177</v>
      </c>
      <c r="C14" s="17" t="s">
        <v>58</v>
      </c>
      <c r="D14" s="19"/>
      <c r="E14" s="20"/>
      <c r="F14" s="21"/>
      <c r="G14" s="22"/>
      <c r="H14" s="23"/>
      <c r="I14" s="24"/>
      <c r="J14" s="25"/>
    </row>
    <row r="15" spans="1:10" ht="21.75" customHeight="1" x14ac:dyDescent="0.2">
      <c r="A15" s="28" t="s">
        <v>178</v>
      </c>
      <c r="B15" s="29" t="s">
        <v>179</v>
      </c>
      <c r="C15" s="17" t="s">
        <v>58</v>
      </c>
      <c r="D15" s="19"/>
      <c r="E15" s="20"/>
      <c r="F15" s="21"/>
      <c r="G15" s="22"/>
      <c r="H15" s="23"/>
      <c r="I15" s="24"/>
      <c r="J15" s="25"/>
    </row>
    <row r="16" spans="1:10" ht="21.75" customHeight="1" x14ac:dyDescent="0.2">
      <c r="A16" s="30" t="s">
        <v>180</v>
      </c>
      <c r="B16" s="31" t="s">
        <v>181</v>
      </c>
      <c r="C16" s="17" t="s">
        <v>58</v>
      </c>
      <c r="D16" s="19"/>
      <c r="E16" s="20"/>
      <c r="F16" s="21"/>
      <c r="G16" s="22"/>
      <c r="H16" s="23"/>
      <c r="I16" s="24"/>
      <c r="J16" s="25"/>
    </row>
    <row r="17" spans="1:10" ht="21.75" customHeight="1" x14ac:dyDescent="0.2">
      <c r="A17" s="28" t="s">
        <v>182</v>
      </c>
      <c r="B17" s="29" t="s">
        <v>183</v>
      </c>
      <c r="C17" s="17" t="s">
        <v>58</v>
      </c>
      <c r="D17" s="19"/>
      <c r="E17" s="20"/>
      <c r="F17" s="21"/>
      <c r="G17" s="22"/>
      <c r="H17" s="23"/>
      <c r="I17" s="24"/>
      <c r="J17" s="25"/>
    </row>
    <row r="18" spans="1:10" ht="19.5" customHeight="1" x14ac:dyDescent="0.2">
      <c r="A18" s="64" t="s">
        <v>184</v>
      </c>
      <c r="B18" s="55"/>
      <c r="C18" s="55"/>
      <c r="D18" s="55"/>
      <c r="E18" s="55"/>
      <c r="F18" s="55"/>
      <c r="G18" s="55"/>
      <c r="H18" s="55"/>
      <c r="I18" s="55"/>
      <c r="J18" s="55"/>
    </row>
    <row r="19" spans="1:10" ht="21.75" customHeight="1" x14ac:dyDescent="0.2">
      <c r="A19" s="28" t="s">
        <v>185</v>
      </c>
      <c r="B19" s="29" t="s">
        <v>186</v>
      </c>
      <c r="C19" s="17" t="s">
        <v>58</v>
      </c>
      <c r="D19" s="19"/>
      <c r="E19" s="20"/>
      <c r="F19" s="21"/>
      <c r="G19" s="22"/>
      <c r="H19" s="23"/>
      <c r="I19" s="24"/>
      <c r="J19" s="25"/>
    </row>
    <row r="20" spans="1:10" ht="21.75" customHeight="1" x14ac:dyDescent="0.2">
      <c r="A20" s="30" t="s">
        <v>187</v>
      </c>
      <c r="B20" s="31" t="s">
        <v>188</v>
      </c>
      <c r="C20" s="17" t="s">
        <v>58</v>
      </c>
      <c r="D20" s="19"/>
      <c r="E20" s="20"/>
      <c r="F20" s="21"/>
      <c r="G20" s="22"/>
      <c r="H20" s="23"/>
      <c r="I20" s="24"/>
      <c r="J20" s="25"/>
    </row>
    <row r="21" spans="1:10" ht="21.75" customHeight="1" x14ac:dyDescent="0.2">
      <c r="A21" s="28" t="s">
        <v>189</v>
      </c>
      <c r="B21" s="29" t="s">
        <v>190</v>
      </c>
      <c r="C21" s="17" t="s">
        <v>58</v>
      </c>
      <c r="D21" s="19"/>
      <c r="E21" s="20"/>
      <c r="F21" s="21"/>
      <c r="G21" s="22"/>
      <c r="H21" s="23"/>
      <c r="I21" s="24"/>
      <c r="J21" s="25"/>
    </row>
    <row r="22" spans="1:10" ht="21.75" customHeight="1" x14ac:dyDescent="0.2">
      <c r="A22" s="30" t="s">
        <v>191</v>
      </c>
      <c r="B22" s="31" t="s">
        <v>192</v>
      </c>
      <c r="C22" s="17" t="s">
        <v>58</v>
      </c>
      <c r="D22" s="19"/>
      <c r="E22" s="20"/>
      <c r="F22" s="21"/>
      <c r="G22" s="22"/>
      <c r="H22" s="23"/>
      <c r="I22" s="24"/>
      <c r="J22" s="25"/>
    </row>
    <row r="23" spans="1:10" ht="19.5" customHeight="1" x14ac:dyDescent="0.2">
      <c r="A23" s="64" t="s">
        <v>193</v>
      </c>
      <c r="B23" s="55"/>
      <c r="C23" s="55"/>
      <c r="D23" s="55"/>
      <c r="E23" s="55"/>
      <c r="F23" s="55"/>
      <c r="G23" s="55"/>
      <c r="H23" s="55"/>
      <c r="I23" s="55"/>
      <c r="J23" s="55"/>
    </row>
    <row r="24" spans="1:10" ht="21.75" customHeight="1" x14ac:dyDescent="0.2">
      <c r="A24" s="30" t="s">
        <v>194</v>
      </c>
      <c r="B24" s="31" t="s">
        <v>195</v>
      </c>
      <c r="C24" s="17" t="s">
        <v>58</v>
      </c>
      <c r="D24" s="19"/>
      <c r="E24" s="20"/>
      <c r="F24" s="21"/>
      <c r="G24" s="22"/>
      <c r="H24" s="23"/>
      <c r="I24" s="24"/>
      <c r="J24" s="25"/>
    </row>
    <row r="25" spans="1:10" ht="21.75" customHeight="1" x14ac:dyDescent="0.2">
      <c r="A25" s="28" t="s">
        <v>196</v>
      </c>
      <c r="B25" s="29" t="s">
        <v>197</v>
      </c>
      <c r="C25" s="17" t="s">
        <v>58</v>
      </c>
      <c r="D25" s="19"/>
      <c r="E25" s="20"/>
      <c r="F25" s="21"/>
      <c r="G25" s="22"/>
      <c r="H25" s="23"/>
      <c r="I25" s="24"/>
      <c r="J25" s="25"/>
    </row>
    <row r="26" spans="1:10" ht="21.75" customHeight="1" x14ac:dyDescent="0.2">
      <c r="A26" s="30" t="s">
        <v>198</v>
      </c>
      <c r="B26" s="31" t="s">
        <v>199</v>
      </c>
      <c r="C26" s="17" t="s">
        <v>58</v>
      </c>
      <c r="D26" s="19"/>
      <c r="E26" s="20"/>
      <c r="F26" s="21"/>
      <c r="G26" s="22"/>
      <c r="H26" s="23"/>
      <c r="I26" s="24"/>
      <c r="J26" s="25"/>
    </row>
    <row r="27" spans="1:10" ht="21.75" customHeight="1" x14ac:dyDescent="0.2">
      <c r="A27" s="28" t="s">
        <v>200</v>
      </c>
      <c r="B27" s="29" t="s">
        <v>201</v>
      </c>
      <c r="C27" s="17" t="s">
        <v>58</v>
      </c>
      <c r="D27" s="19"/>
      <c r="E27" s="20"/>
      <c r="F27" s="21"/>
      <c r="G27" s="22"/>
      <c r="H27" s="23"/>
      <c r="I27" s="24"/>
      <c r="J27" s="25"/>
    </row>
    <row r="28" spans="1:10" ht="19.5" customHeight="1" x14ac:dyDescent="0.2">
      <c r="A28" s="64" t="s">
        <v>202</v>
      </c>
      <c r="B28" s="55"/>
      <c r="C28" s="55"/>
      <c r="D28" s="55"/>
      <c r="E28" s="55"/>
      <c r="F28" s="55"/>
      <c r="G28" s="55"/>
      <c r="H28" s="55"/>
      <c r="I28" s="55"/>
      <c r="J28" s="55"/>
    </row>
    <row r="29" spans="1:10" ht="21.75" customHeight="1" x14ac:dyDescent="0.2">
      <c r="A29" s="28" t="s">
        <v>203</v>
      </c>
      <c r="B29" s="29" t="s">
        <v>204</v>
      </c>
      <c r="C29" s="17" t="s">
        <v>58</v>
      </c>
      <c r="D29" s="19"/>
      <c r="E29" s="20"/>
      <c r="F29" s="21"/>
      <c r="G29" s="22"/>
      <c r="H29" s="23"/>
      <c r="I29" s="24"/>
      <c r="J29" s="25"/>
    </row>
    <row r="30" spans="1:10" ht="21.75" customHeight="1" x14ac:dyDescent="0.2">
      <c r="A30" s="30" t="s">
        <v>205</v>
      </c>
      <c r="B30" s="31" t="s">
        <v>206</v>
      </c>
      <c r="C30" s="17" t="s">
        <v>42</v>
      </c>
      <c r="D30" s="19"/>
      <c r="E30" s="20"/>
      <c r="F30" s="21"/>
      <c r="G30" s="22"/>
      <c r="H30" s="23"/>
      <c r="I30" s="24"/>
      <c r="J30" s="25"/>
    </row>
    <row r="31" spans="1:10" ht="21.75" customHeight="1" x14ac:dyDescent="0.2">
      <c r="A31" s="28" t="s">
        <v>207</v>
      </c>
      <c r="B31" s="29" t="s">
        <v>208</v>
      </c>
      <c r="C31" s="17" t="s">
        <v>58</v>
      </c>
      <c r="D31" s="19"/>
      <c r="E31" s="20"/>
      <c r="F31" s="21"/>
      <c r="G31" s="22"/>
      <c r="H31" s="23"/>
      <c r="I31" s="24"/>
      <c r="J31" s="25"/>
    </row>
    <row r="32" spans="1:10" ht="19.5" customHeight="1" x14ac:dyDescent="0.2">
      <c r="A32" s="64" t="s">
        <v>209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ht="21.75" customHeight="1" x14ac:dyDescent="0.2">
      <c r="A33" s="28" t="s">
        <v>210</v>
      </c>
      <c r="B33" s="29" t="s">
        <v>211</v>
      </c>
      <c r="C33" s="17" t="s">
        <v>42</v>
      </c>
      <c r="D33" s="19"/>
      <c r="E33" s="20"/>
      <c r="F33" s="21"/>
      <c r="G33" s="22"/>
      <c r="H33" s="23"/>
      <c r="I33" s="24"/>
      <c r="J33" s="25"/>
    </row>
    <row r="34" spans="1:10" ht="21.75" customHeight="1" x14ac:dyDescent="0.2">
      <c r="A34" s="30" t="s">
        <v>212</v>
      </c>
      <c r="B34" s="31" t="s">
        <v>213</v>
      </c>
      <c r="C34" s="17" t="s">
        <v>58</v>
      </c>
      <c r="D34" s="19"/>
      <c r="E34" s="20"/>
      <c r="F34" s="21"/>
      <c r="G34" s="22"/>
      <c r="H34" s="23"/>
      <c r="I34" s="24"/>
      <c r="J34" s="25"/>
    </row>
    <row r="35" spans="1:10" ht="21.75" customHeight="1" x14ac:dyDescent="0.2">
      <c r="A35" s="28" t="s">
        <v>214</v>
      </c>
      <c r="B35" s="29" t="s">
        <v>215</v>
      </c>
      <c r="C35" s="17" t="s">
        <v>58</v>
      </c>
      <c r="D35" s="19"/>
      <c r="E35" s="20"/>
      <c r="F35" s="21"/>
      <c r="G35" s="22"/>
      <c r="H35" s="23"/>
      <c r="I35" s="24"/>
      <c r="J35" s="25"/>
    </row>
    <row r="36" spans="1:10" ht="21.75" customHeight="1" x14ac:dyDescent="0.2">
      <c r="A36" s="30" t="s">
        <v>216</v>
      </c>
      <c r="B36" s="31" t="s">
        <v>217</v>
      </c>
      <c r="C36" s="17" t="s">
        <v>58</v>
      </c>
      <c r="D36" s="19"/>
      <c r="E36" s="20"/>
      <c r="F36" s="21"/>
      <c r="G36" s="22"/>
      <c r="H36" s="23"/>
      <c r="I36" s="24"/>
      <c r="J36" s="25"/>
    </row>
    <row r="37" spans="1:10" ht="21.75" customHeight="1" x14ac:dyDescent="0.2">
      <c r="A37" s="28" t="s">
        <v>218</v>
      </c>
      <c r="B37" s="29" t="s">
        <v>219</v>
      </c>
      <c r="C37" s="17" t="s">
        <v>58</v>
      </c>
      <c r="D37" s="19"/>
      <c r="E37" s="20"/>
      <c r="F37" s="21"/>
      <c r="G37" s="22"/>
      <c r="H37" s="23"/>
      <c r="I37" s="24"/>
      <c r="J37" s="25"/>
    </row>
    <row r="38" spans="1:10" ht="19.5" customHeight="1" x14ac:dyDescent="0.2">
      <c r="A38" s="64" t="s">
        <v>220</v>
      </c>
      <c r="B38" s="55"/>
      <c r="C38" s="55"/>
      <c r="D38" s="55"/>
      <c r="E38" s="55"/>
      <c r="F38" s="55"/>
      <c r="G38" s="55"/>
      <c r="H38" s="55"/>
      <c r="I38" s="55"/>
      <c r="J38" s="55"/>
    </row>
    <row r="39" spans="1:10" ht="21.75" customHeight="1" x14ac:dyDescent="0.2">
      <c r="A39" s="28" t="s">
        <v>221</v>
      </c>
      <c r="B39" s="29" t="s">
        <v>222</v>
      </c>
      <c r="C39" s="17" t="s">
        <v>58</v>
      </c>
      <c r="D39" s="19"/>
      <c r="E39" s="20"/>
      <c r="F39" s="21"/>
      <c r="G39" s="22"/>
      <c r="H39" s="23"/>
      <c r="I39" s="24"/>
      <c r="J39" s="25"/>
    </row>
    <row r="40" spans="1:10" ht="21.75" customHeight="1" x14ac:dyDescent="0.2">
      <c r="A40" s="30" t="s">
        <v>223</v>
      </c>
      <c r="B40" s="31" t="s">
        <v>224</v>
      </c>
      <c r="C40" s="17" t="s">
        <v>42</v>
      </c>
      <c r="D40" s="19"/>
      <c r="E40" s="20"/>
      <c r="F40" s="21"/>
      <c r="G40" s="22"/>
      <c r="H40" s="23"/>
      <c r="I40" s="24"/>
      <c r="J40" s="25"/>
    </row>
    <row r="42" spans="1:10" ht="24" customHeight="1" x14ac:dyDescent="0.2">
      <c r="A42" s="68" t="s">
        <v>225</v>
      </c>
      <c r="B42" s="55"/>
      <c r="C42" s="55"/>
      <c r="D42" s="32">
        <f>COUNTIF(D4:D40,"&lt;&gt;")/MAX(1,COUNTA(B4:B40))*100</f>
        <v>0</v>
      </c>
      <c r="E42" s="72">
        <f>COUNTIF(G4:H40,"&lt;&gt;")/MAX(1,COUNTA(B4:B40))*100</f>
        <v>0</v>
      </c>
      <c r="F42" s="55"/>
      <c r="G42" s="55"/>
      <c r="H42" s="55"/>
      <c r="I42" s="70" t="s">
        <v>226</v>
      </c>
      <c r="J42" s="55"/>
    </row>
  </sheetData>
  <mergeCells count="12">
    <mergeCell ref="A42:C42"/>
    <mergeCell ref="A1:J1"/>
    <mergeCell ref="A23:J23"/>
    <mergeCell ref="A32:J32"/>
    <mergeCell ref="A18:J18"/>
    <mergeCell ref="I42:J42"/>
    <mergeCell ref="A4:J4"/>
    <mergeCell ref="A38:J38"/>
    <mergeCell ref="A2:J2"/>
    <mergeCell ref="A28:J28"/>
    <mergeCell ref="E42:H42"/>
    <mergeCell ref="A13:J13"/>
  </mergeCells>
  <dataValidations count="1">
    <dataValidation type="list" allowBlank="1" sqref="C4:C70" xr:uid="{00000000-0002-0000-0200-000000000000}">
      <formula1>"Alle; Nur PFK; Nur PHK; Azubi; PFK+PHK"</formula1>
    </dataValidation>
  </dataValidations>
  <pageMargins left="0.4" right="0.4" top="0.6" bottom="0.6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44AD"/>
  </sheetPr>
  <dimension ref="A1:F22"/>
  <sheetViews>
    <sheetView showGridLines="0"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32" customWidth="1"/>
    <col min="2" max="3" width="16" customWidth="1"/>
    <col min="4" max="4" width="20" customWidth="1"/>
    <col min="5" max="5" width="24" customWidth="1"/>
    <col min="6" max="6" width="20" customWidth="1"/>
  </cols>
  <sheetData>
    <row r="1" spans="1:6" ht="39.75" customHeight="1" x14ac:dyDescent="0.2">
      <c r="A1" s="73" t="s">
        <v>227</v>
      </c>
      <c r="B1" s="55"/>
      <c r="C1" s="55"/>
      <c r="D1" s="55"/>
      <c r="E1" s="55"/>
      <c r="F1" s="55"/>
    </row>
    <row r="2" spans="1:6" ht="25.5" customHeight="1" x14ac:dyDescent="0.2">
      <c r="A2" s="33" t="s">
        <v>228</v>
      </c>
      <c r="B2" s="33" t="s">
        <v>229</v>
      </c>
      <c r="C2" s="33" t="s">
        <v>230</v>
      </c>
      <c r="D2" s="33" t="s">
        <v>231</v>
      </c>
      <c r="E2" s="33" t="s">
        <v>232</v>
      </c>
      <c r="F2" s="33" t="s">
        <v>233</v>
      </c>
    </row>
    <row r="3" spans="1:6" ht="21.75" customHeight="1" x14ac:dyDescent="0.2">
      <c r="A3" s="29" t="s">
        <v>234</v>
      </c>
      <c r="B3" s="29" t="s">
        <v>235</v>
      </c>
      <c r="C3" s="34"/>
      <c r="D3" s="34"/>
      <c r="E3" s="35"/>
      <c r="F3" s="35"/>
    </row>
    <row r="4" spans="1:6" ht="21.75" customHeight="1" x14ac:dyDescent="0.2">
      <c r="A4" s="31" t="s">
        <v>236</v>
      </c>
      <c r="B4" s="31" t="s">
        <v>237</v>
      </c>
      <c r="C4" s="36"/>
      <c r="D4" s="36"/>
      <c r="E4" s="37"/>
      <c r="F4" s="37"/>
    </row>
    <row r="5" spans="1:6" ht="21.75" customHeight="1" x14ac:dyDescent="0.2">
      <c r="A5" s="29" t="s">
        <v>238</v>
      </c>
      <c r="B5" s="29" t="s">
        <v>239</v>
      </c>
      <c r="C5" s="34"/>
      <c r="D5" s="34"/>
      <c r="E5" s="35"/>
      <c r="F5" s="35"/>
    </row>
    <row r="6" spans="1:6" ht="21.75" customHeight="1" x14ac:dyDescent="0.2">
      <c r="A6" s="31" t="s">
        <v>240</v>
      </c>
      <c r="B6" s="31" t="s">
        <v>241</v>
      </c>
      <c r="C6" s="36"/>
      <c r="D6" s="36"/>
      <c r="E6" s="37"/>
      <c r="F6" s="37"/>
    </row>
    <row r="7" spans="1:6" ht="21.75" customHeight="1" x14ac:dyDescent="0.2">
      <c r="A7" s="29" t="s">
        <v>242</v>
      </c>
      <c r="B7" s="29" t="s">
        <v>243</v>
      </c>
      <c r="C7" s="34"/>
      <c r="D7" s="34"/>
      <c r="E7" s="35"/>
      <c r="F7" s="35"/>
    </row>
    <row r="8" spans="1:6" ht="21.75" customHeight="1" x14ac:dyDescent="0.2">
      <c r="A8" s="31" t="s">
        <v>244</v>
      </c>
      <c r="B8" s="31" t="s">
        <v>245</v>
      </c>
      <c r="C8" s="36"/>
      <c r="D8" s="36"/>
      <c r="E8" s="37"/>
      <c r="F8" s="37"/>
    </row>
    <row r="9" spans="1:6" ht="21.75" customHeight="1" x14ac:dyDescent="0.2">
      <c r="A9" s="29" t="s">
        <v>246</v>
      </c>
      <c r="B9" s="29" t="s">
        <v>247</v>
      </c>
      <c r="C9" s="34"/>
      <c r="D9" s="34"/>
      <c r="E9" s="35"/>
      <c r="F9" s="35"/>
    </row>
    <row r="10" spans="1:6" ht="21.75" customHeight="1" x14ac:dyDescent="0.2">
      <c r="A10" s="31" t="s">
        <v>248</v>
      </c>
      <c r="B10" s="31" t="s">
        <v>249</v>
      </c>
      <c r="C10" s="36"/>
      <c r="D10" s="36"/>
      <c r="E10" s="37"/>
      <c r="F10" s="37"/>
    </row>
    <row r="11" spans="1:6" ht="21.75" customHeight="1" x14ac:dyDescent="0.2">
      <c r="A11" s="29" t="s">
        <v>250</v>
      </c>
      <c r="B11" s="29" t="s">
        <v>247</v>
      </c>
      <c r="C11" s="34"/>
      <c r="D11" s="34"/>
      <c r="E11" s="35"/>
      <c r="F11" s="35"/>
    </row>
    <row r="12" spans="1:6" ht="21.75" customHeight="1" x14ac:dyDescent="0.2">
      <c r="A12" s="31" t="s">
        <v>251</v>
      </c>
      <c r="B12" s="31" t="s">
        <v>247</v>
      </c>
      <c r="C12" s="36"/>
      <c r="D12" s="36"/>
      <c r="E12" s="37"/>
      <c r="F12" s="37"/>
    </row>
    <row r="13" spans="1:6" ht="21.75" customHeight="1" x14ac:dyDescent="0.2">
      <c r="A13" s="29" t="s">
        <v>252</v>
      </c>
      <c r="B13" s="29" t="s">
        <v>247</v>
      </c>
      <c r="C13" s="34"/>
      <c r="D13" s="34"/>
      <c r="E13" s="35"/>
      <c r="F13" s="35"/>
    </row>
    <row r="14" spans="1:6" ht="21.75" customHeight="1" x14ac:dyDescent="0.2">
      <c r="A14" s="31" t="s">
        <v>253</v>
      </c>
      <c r="B14" s="31" t="s">
        <v>254</v>
      </c>
      <c r="C14" s="36"/>
      <c r="D14" s="36"/>
      <c r="E14" s="37"/>
      <c r="F14" s="37"/>
    </row>
    <row r="15" spans="1:6" ht="21.75" customHeight="1" x14ac:dyDescent="0.2">
      <c r="A15" s="29" t="s">
        <v>255</v>
      </c>
      <c r="B15" s="29" t="s">
        <v>254</v>
      </c>
      <c r="C15" s="34"/>
      <c r="D15" s="34"/>
      <c r="E15" s="35"/>
      <c r="F15" s="35"/>
    </row>
    <row r="16" spans="1:6" ht="21.75" customHeight="1" x14ac:dyDescent="0.2">
      <c r="A16" s="31" t="s">
        <v>256</v>
      </c>
      <c r="B16" s="31" t="s">
        <v>254</v>
      </c>
      <c r="C16" s="36"/>
      <c r="D16" s="36"/>
      <c r="E16" s="37"/>
      <c r="F16" s="37"/>
    </row>
    <row r="17" spans="1:6" ht="21.75" customHeight="1" x14ac:dyDescent="0.2">
      <c r="A17" s="29" t="s">
        <v>257</v>
      </c>
      <c r="B17" s="29" t="s">
        <v>258</v>
      </c>
      <c r="C17" s="34"/>
      <c r="D17" s="34"/>
      <c r="E17" s="35"/>
      <c r="F17" s="35"/>
    </row>
    <row r="18" spans="1:6" ht="21.75" customHeight="1" x14ac:dyDescent="0.2">
      <c r="A18" s="31" t="s">
        <v>259</v>
      </c>
      <c r="B18" s="31" t="s">
        <v>260</v>
      </c>
      <c r="C18" s="36"/>
      <c r="D18" s="36"/>
      <c r="E18" s="37"/>
      <c r="F18" s="37"/>
    </row>
    <row r="19" spans="1:6" ht="21.75" customHeight="1" x14ac:dyDescent="0.2">
      <c r="A19" s="29" t="s">
        <v>261</v>
      </c>
      <c r="B19" s="29" t="s">
        <v>247</v>
      </c>
      <c r="C19" s="34"/>
      <c r="D19" s="34"/>
      <c r="E19" s="35"/>
      <c r="F19" s="35"/>
    </row>
    <row r="20" spans="1:6" ht="21.75" customHeight="1" x14ac:dyDescent="0.2">
      <c r="A20" s="31" t="s">
        <v>262</v>
      </c>
      <c r="B20" s="31" t="s">
        <v>263</v>
      </c>
      <c r="C20" s="36"/>
      <c r="D20" s="36"/>
      <c r="E20" s="37"/>
      <c r="F20" s="37"/>
    </row>
    <row r="21" spans="1:6" ht="21.75" customHeight="1" x14ac:dyDescent="0.2">
      <c r="A21" s="29" t="s">
        <v>264</v>
      </c>
      <c r="B21" s="29" t="s">
        <v>265</v>
      </c>
      <c r="C21" s="34"/>
      <c r="D21" s="34"/>
      <c r="E21" s="35"/>
      <c r="F21" s="35"/>
    </row>
    <row r="22" spans="1:6" ht="21.75" customHeight="1" x14ac:dyDescent="0.2">
      <c r="A22" s="31" t="s">
        <v>266</v>
      </c>
      <c r="B22" s="31" t="s">
        <v>267</v>
      </c>
      <c r="C22" s="36"/>
      <c r="D22" s="36"/>
      <c r="E22" s="37"/>
      <c r="F22" s="37"/>
    </row>
  </sheetData>
  <mergeCells count="1">
    <mergeCell ref="A1:F1"/>
  </mergeCells>
  <pageMargins left="0.75" right="0.75" top="1" bottom="1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D36"/>
  <sheetViews>
    <sheetView showGridLines="0" tabSelected="1" zoomScaleNormal="100" workbookViewId="0">
      <selection sqref="A1:D1"/>
    </sheetView>
  </sheetViews>
  <sheetFormatPr baseColWidth="10" defaultColWidth="8.6640625" defaultRowHeight="15" x14ac:dyDescent="0.2"/>
  <cols>
    <col min="1" max="1" width="22" customWidth="1"/>
    <col min="2" max="2" width="50" customWidth="1"/>
    <col min="3" max="3" width="22" customWidth="1"/>
    <col min="4" max="4" width="50" customWidth="1"/>
  </cols>
  <sheetData>
    <row r="1" spans="1:4" ht="39.75" customHeight="1" x14ac:dyDescent="0.2">
      <c r="A1" s="62" t="s">
        <v>268</v>
      </c>
      <c r="B1" s="55"/>
      <c r="C1" s="55"/>
      <c r="D1" s="55"/>
    </row>
    <row r="3" spans="1:4" ht="24" customHeight="1" x14ac:dyDescent="0.2">
      <c r="A3" s="56" t="s">
        <v>269</v>
      </c>
      <c r="B3" s="55"/>
      <c r="C3" s="55"/>
      <c r="D3" s="55"/>
    </row>
    <row r="4" spans="1:4" ht="19.5" customHeight="1" x14ac:dyDescent="0.2">
      <c r="A4" s="38" t="s">
        <v>270</v>
      </c>
      <c r="B4" s="39" t="s">
        <v>271</v>
      </c>
    </row>
    <row r="5" spans="1:4" ht="19.5" customHeight="1" x14ac:dyDescent="0.2">
      <c r="A5" s="40" t="s">
        <v>272</v>
      </c>
      <c r="B5" s="41" t="s">
        <v>273</v>
      </c>
    </row>
    <row r="6" spans="1:4" ht="19.5" customHeight="1" x14ac:dyDescent="0.2">
      <c r="A6" s="42" t="s">
        <v>274</v>
      </c>
      <c r="B6" s="43" t="s">
        <v>275</v>
      </c>
    </row>
    <row r="7" spans="1:4" ht="19.5" customHeight="1" x14ac:dyDescent="0.2">
      <c r="A7" s="44" t="s">
        <v>276</v>
      </c>
      <c r="B7" s="45" t="s">
        <v>277</v>
      </c>
    </row>
    <row r="8" spans="1:4" ht="19.5" customHeight="1" x14ac:dyDescent="0.2">
      <c r="A8" s="46" t="s">
        <v>278</v>
      </c>
      <c r="B8" s="47" t="s">
        <v>279</v>
      </c>
    </row>
    <row r="10" spans="1:4" ht="24" customHeight="1" x14ac:dyDescent="0.2">
      <c r="A10" s="56" t="s">
        <v>280</v>
      </c>
      <c r="B10" s="55"/>
      <c r="C10" s="55"/>
      <c r="D10" s="55"/>
    </row>
    <row r="11" spans="1:4" ht="19.5" customHeight="1" x14ac:dyDescent="0.2">
      <c r="A11" s="48" t="s">
        <v>281</v>
      </c>
      <c r="B11" s="27" t="s">
        <v>282</v>
      </c>
    </row>
    <row r="12" spans="1:4" ht="19.5" customHeight="1" x14ac:dyDescent="0.2">
      <c r="A12" s="49" t="s">
        <v>283</v>
      </c>
      <c r="B12" s="16" t="s">
        <v>284</v>
      </c>
    </row>
    <row r="13" spans="1:4" ht="19.5" customHeight="1" x14ac:dyDescent="0.2">
      <c r="A13" s="48" t="s">
        <v>285</v>
      </c>
      <c r="B13" s="27" t="s">
        <v>286</v>
      </c>
    </row>
    <row r="14" spans="1:4" ht="19.5" customHeight="1" x14ac:dyDescent="0.2">
      <c r="A14" s="49" t="s">
        <v>287</v>
      </c>
      <c r="B14" s="16" t="s">
        <v>288</v>
      </c>
    </row>
    <row r="15" spans="1:4" ht="19.5" customHeight="1" x14ac:dyDescent="0.2">
      <c r="A15" s="48" t="s">
        <v>289</v>
      </c>
      <c r="B15" s="27" t="s">
        <v>290</v>
      </c>
    </row>
    <row r="17" spans="1:4" ht="24" customHeight="1" x14ac:dyDescent="0.2">
      <c r="A17" s="56" t="s">
        <v>291</v>
      </c>
      <c r="B17" s="55"/>
      <c r="C17" s="55"/>
      <c r="D17" s="55"/>
    </row>
    <row r="18" spans="1:4" ht="19.5" customHeight="1" x14ac:dyDescent="0.2">
      <c r="A18" s="49" t="s">
        <v>42</v>
      </c>
      <c r="B18" s="16" t="s">
        <v>292</v>
      </c>
    </row>
    <row r="19" spans="1:4" ht="19.5" customHeight="1" x14ac:dyDescent="0.2">
      <c r="A19" s="48" t="s">
        <v>58</v>
      </c>
      <c r="B19" s="27" t="s">
        <v>293</v>
      </c>
    </row>
    <row r="20" spans="1:4" ht="19.5" customHeight="1" x14ac:dyDescent="0.2">
      <c r="A20" s="49" t="s">
        <v>294</v>
      </c>
      <c r="B20" s="16" t="s">
        <v>295</v>
      </c>
    </row>
    <row r="21" spans="1:4" ht="19.5" customHeight="1" x14ac:dyDescent="0.2">
      <c r="A21" s="48" t="s">
        <v>296</v>
      </c>
      <c r="B21" s="27" t="s">
        <v>297</v>
      </c>
    </row>
    <row r="22" spans="1:4" ht="19.5" customHeight="1" x14ac:dyDescent="0.2">
      <c r="A22" s="49" t="s">
        <v>298</v>
      </c>
      <c r="B22" s="16" t="s">
        <v>299</v>
      </c>
    </row>
    <row r="24" spans="1:4" ht="24" customHeight="1" x14ac:dyDescent="0.2">
      <c r="A24" s="56" t="s">
        <v>300</v>
      </c>
      <c r="B24" s="55"/>
      <c r="C24" s="55"/>
      <c r="D24" s="55"/>
    </row>
    <row r="25" spans="1:4" ht="19.5" customHeight="1" x14ac:dyDescent="0.2">
      <c r="A25" s="48" t="s">
        <v>301</v>
      </c>
      <c r="B25" s="27" t="s">
        <v>302</v>
      </c>
    </row>
    <row r="26" spans="1:4" ht="19.5" customHeight="1" x14ac:dyDescent="0.2">
      <c r="A26" s="49" t="s">
        <v>303</v>
      </c>
      <c r="B26" s="16" t="s">
        <v>304</v>
      </c>
    </row>
    <row r="27" spans="1:4" ht="19.5" customHeight="1" x14ac:dyDescent="0.2">
      <c r="A27" s="48" t="s">
        <v>305</v>
      </c>
      <c r="B27" s="27" t="s">
        <v>306</v>
      </c>
    </row>
    <row r="28" spans="1:4" ht="19.5" customHeight="1" x14ac:dyDescent="0.2">
      <c r="A28" s="49" t="s">
        <v>307</v>
      </c>
      <c r="B28" s="16" t="s">
        <v>308</v>
      </c>
    </row>
    <row r="29" spans="1:4" ht="19.5" customHeight="1" x14ac:dyDescent="0.2">
      <c r="A29" s="50" t="s">
        <v>309</v>
      </c>
      <c r="B29" s="51" t="s">
        <v>310</v>
      </c>
    </row>
    <row r="31" spans="1:4" ht="24" customHeight="1" x14ac:dyDescent="0.2">
      <c r="A31" s="56" t="s">
        <v>311</v>
      </c>
      <c r="B31" s="55"/>
      <c r="C31" s="55"/>
      <c r="D31" s="55"/>
    </row>
    <row r="32" spans="1:4" ht="19.5" customHeight="1" x14ac:dyDescent="0.2">
      <c r="A32" s="52" t="s">
        <v>312</v>
      </c>
      <c r="B32" s="53" t="s">
        <v>313</v>
      </c>
    </row>
    <row r="33" spans="1:2" ht="19.5" customHeight="1" x14ac:dyDescent="0.2">
      <c r="A33" s="52" t="s">
        <v>314</v>
      </c>
      <c r="B33" s="53" t="s">
        <v>315</v>
      </c>
    </row>
    <row r="34" spans="1:2" ht="19.5" customHeight="1" x14ac:dyDescent="0.2">
      <c r="A34" s="52" t="s">
        <v>316</v>
      </c>
      <c r="B34" s="53" t="s">
        <v>317</v>
      </c>
    </row>
    <row r="35" spans="1:2" ht="19.5" customHeight="1" x14ac:dyDescent="0.2">
      <c r="A35" s="52" t="s">
        <v>318</v>
      </c>
      <c r="B35" s="53" t="s">
        <v>319</v>
      </c>
    </row>
    <row r="36" spans="1:2" ht="19.5" customHeight="1" x14ac:dyDescent="0.2">
      <c r="A36" s="52" t="s">
        <v>320</v>
      </c>
      <c r="B36" s="53" t="s">
        <v>321</v>
      </c>
    </row>
  </sheetData>
  <mergeCells count="6">
    <mergeCell ref="A1:D1"/>
    <mergeCell ref="A17:D17"/>
    <mergeCell ref="A31:D31"/>
    <mergeCell ref="A3:D3"/>
    <mergeCell ref="A24:D24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4</vt:i4>
      </vt:variant>
    </vt:vector>
  </HeadingPairs>
  <TitlesOfParts>
    <vt:vector size="9" baseType="lpstr">
      <vt:lpstr>Stammdaten</vt:lpstr>
      <vt:lpstr>SGB XI</vt:lpstr>
      <vt:lpstr>SGB V</vt:lpstr>
      <vt:lpstr>Einweisungen</vt:lpstr>
      <vt:lpstr>Legende</vt:lpstr>
      <vt:lpstr>Einweisungen!Drucktitel</vt:lpstr>
      <vt:lpstr>'SGB V'!Drucktitel</vt:lpstr>
      <vt:lpstr>'SGB XI'!Drucktitel</vt:lpstr>
      <vt:lpstr>Stammdaten!Drucktitel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Torben Buck</cp:lastModifiedBy>
  <cp:revision>0</cp:revision>
  <dcterms:created xsi:type="dcterms:W3CDTF">2026-03-13T11:35:19Z</dcterms:created>
  <dcterms:modified xsi:type="dcterms:W3CDTF">2026-03-13T12:43:24Z</dcterms:modified>
  <dc:language>en-US</dc:language>
</cp:coreProperties>
</file>